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https://indoramaventures.sharepoint.com/sites/ManufacturingTechnologyCenter/Product Quality Benchmarking/Chips cutter/"/>
    </mc:Choice>
  </mc:AlternateContent>
  <xr:revisionPtr revIDLastSave="305" documentId="8_{AB20525F-4560-4A32-8629-F134EEC2B955}" xr6:coauthVersionLast="47" xr6:coauthVersionMax="47" xr10:uidLastSave="{F765DCA5-5FBF-4255-8F6C-23F66EAAEFFA}"/>
  <bookViews>
    <workbookView xWindow="-109" yWindow="-109" windowWidth="26301" windowHeight="14169" xr2:uid="{00000000-000D-0000-FFFF-FFFF00000000}"/>
  </bookViews>
  <sheets>
    <sheet name="IVL " sheetId="5" r:id="rId1"/>
    <sheet name="Cutters" sheetId="6" r:id="rId2"/>
  </sheets>
  <definedNames>
    <definedName name="_xlnm._FilterDatabase" localSheetId="1" hidden="1">Cutters!$A$2:$R$35</definedName>
    <definedName name="_xlnm.Print_Area" localSheetId="0">'IVL '!$A$1:$Z$109</definedName>
  </definedNames>
  <calcPr calcId="191028" concurrentManualCount="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5" i="6" l="1"/>
  <c r="S35" i="6"/>
  <c r="R35" i="6"/>
  <c r="Q35" i="6"/>
  <c r="P35" i="6"/>
  <c r="O35" i="6"/>
  <c r="N35" i="6"/>
  <c r="M35" i="6"/>
  <c r="L35" i="6"/>
  <c r="K35" i="6"/>
  <c r="J35" i="6"/>
  <c r="I35" i="6"/>
  <c r="A21" i="5"/>
  <c r="A52" i="5" s="1"/>
  <c r="A63" i="5" s="1"/>
  <c r="A72" i="5" s="1"/>
  <c r="G1" i="5"/>
  <c r="I1" i="5" s="1"/>
  <c r="J1" i="5" s="1"/>
  <c r="K1" i="5" s="1"/>
  <c r="M1" i="5" s="1"/>
  <c r="O1" i="5" s="1"/>
  <c r="P1" i="5" s="1"/>
  <c r="R1" i="5" s="1"/>
  <c r="U1" i="5" s="1"/>
  <c r="V1" i="5" s="1"/>
  <c r="W1" i="5" s="1"/>
  <c r="X1" i="5" s="1"/>
  <c r="Y1" i="5" s="1"/>
  <c r="AA1" i="5" s="1"/>
  <c r="D1" i="5" s="1"/>
  <c r="U43" i="5" l="1"/>
  <c r="T43" i="5" l="1"/>
  <c r="S43" i="5"/>
  <c r="R43" i="5"/>
  <c r="P43" i="5" l="1"/>
  <c r="Q43" i="5"/>
  <c r="N43" i="5" l="1"/>
  <c r="M43"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Kannan Vaidyanathan</author>
    <author>aperez</author>
  </authors>
  <commentList>
    <comment ref="D26" authorId="0" shapeId="0" xr:uid="{F7D63C54-AC8B-4109-80CB-58D658EBAC5A}">
      <text>
        <r>
          <rPr>
            <b/>
            <sz val="9"/>
            <color indexed="81"/>
            <rFont val="Tahoma"/>
            <charset val="1"/>
          </rPr>
          <t>Kannan Vaidyanathan:</t>
        </r>
        <r>
          <rPr>
            <sz val="9"/>
            <color indexed="81"/>
            <rFont val="Tahoma"/>
            <charset val="1"/>
          </rPr>
          <t xml:space="preserve">
Quantity produced / roll consumed</t>
        </r>
      </text>
    </comment>
    <comment ref="AA27" authorId="1" shapeId="0" xr:uid="{00000000-0006-0000-0000-000001000000}">
      <text>
        <r>
          <rPr>
            <b/>
            <sz val="8"/>
            <color indexed="81"/>
            <rFont val="Tahoma"/>
            <family val="2"/>
          </rPr>
          <t>aperez:</t>
        </r>
        <r>
          <rPr>
            <sz val="8"/>
            <color indexed="81"/>
            <rFont val="Tahoma"/>
            <family val="2"/>
          </rPr>
          <t xml:space="preserve">
P. M. If physical inspection finds some damage, rotor is sent to repair.</t>
        </r>
      </text>
    </comment>
  </commentList>
</comments>
</file>

<file path=xl/sharedStrings.xml><?xml version="1.0" encoding="utf-8"?>
<sst xmlns="http://schemas.openxmlformats.org/spreadsheetml/2006/main" count="1328" uniqueCount="622">
  <si>
    <t>Total sites</t>
  </si>
  <si>
    <t>Cutter Benchmarking:</t>
  </si>
  <si>
    <t>EUROPE</t>
  </si>
  <si>
    <t>ASIA</t>
  </si>
  <si>
    <t>NA</t>
  </si>
  <si>
    <t>S.No.</t>
  </si>
  <si>
    <t>Description</t>
  </si>
  <si>
    <t>IVPG Germany</t>
  </si>
  <si>
    <t>IVQ- Spain</t>
  </si>
  <si>
    <t>IVC-Turkey</t>
  </si>
  <si>
    <t>OGP-Lithuania</t>
  </si>
  <si>
    <t>IVE Rotterdam</t>
  </si>
  <si>
    <t>APT-IRP-Thailand</t>
  </si>
  <si>
    <t xml:space="preserve"> IVI-Tangerang</t>
  </si>
  <si>
    <t>IVL Dhunseri- India (Haldia)</t>
  </si>
  <si>
    <t>PET-IVL-Guangdong</t>
    <phoneticPr fontId="1" type="noConversion"/>
  </si>
  <si>
    <t>IPI Rayong</t>
  </si>
  <si>
    <t>IVPR</t>
  </si>
  <si>
    <t>IPPI Cilegon</t>
  </si>
  <si>
    <t>IRS-Indonesia</t>
  </si>
  <si>
    <t>StarPet</t>
  </si>
  <si>
    <t>IV Polymers Mexico</t>
  </si>
  <si>
    <t>CP2/3</t>
  </si>
  <si>
    <t>CP7</t>
  </si>
  <si>
    <t>CP1</t>
  </si>
  <si>
    <t>CP2</t>
  </si>
  <si>
    <t>CP</t>
  </si>
  <si>
    <t>MP1</t>
  </si>
  <si>
    <t>MP2</t>
  </si>
  <si>
    <t>CP3</t>
    <phoneticPr fontId="1" type="noConversion"/>
  </si>
  <si>
    <t>PM-1</t>
  </si>
  <si>
    <t>CP-12</t>
  </si>
  <si>
    <t>CP-20</t>
  </si>
  <si>
    <t>CP-21</t>
  </si>
  <si>
    <t>Cutter Details:</t>
  </si>
  <si>
    <t>Manufacturer</t>
  </si>
  <si>
    <t>Rieter</t>
  </si>
  <si>
    <t>CAMA</t>
  </si>
  <si>
    <t>Lunarmech</t>
  </si>
  <si>
    <t>Rieter</t>
    <phoneticPr fontId="1" type="noConversion"/>
  </si>
  <si>
    <t>Girung, Taiwan</t>
  </si>
  <si>
    <t>Automatic Rieter</t>
  </si>
  <si>
    <t>RIETER</t>
  </si>
  <si>
    <t>Conair</t>
  </si>
  <si>
    <t>Model</t>
  </si>
  <si>
    <t>ASG 60/2</t>
  </si>
  <si>
    <t>USG 900</t>
  </si>
  <si>
    <t>USG 600/1</t>
  </si>
  <si>
    <t>TSQW900D</t>
  </si>
  <si>
    <t>M-USG 900 H</t>
  </si>
  <si>
    <t>USG-600v</t>
  </si>
  <si>
    <t>USG-900H</t>
  </si>
  <si>
    <t>MUSG-600H</t>
  </si>
  <si>
    <t>USG-900 H</t>
  </si>
  <si>
    <t>US-900 HM</t>
  </si>
  <si>
    <t>USG-600H</t>
    <phoneticPr fontId="1" type="noConversion"/>
  </si>
  <si>
    <t>900V</t>
  </si>
  <si>
    <t>USG-600H</t>
  </si>
  <si>
    <t>USG 600/H</t>
  </si>
  <si>
    <t>USG 600 H</t>
  </si>
  <si>
    <t>USG M900 H</t>
  </si>
  <si>
    <t>M-USG 900H</t>
  </si>
  <si>
    <t>900 H</t>
  </si>
  <si>
    <t>Cutter Rotor teeth</t>
  </si>
  <si>
    <t>40/2</t>
  </si>
  <si>
    <t>No. of Cutters in operation</t>
  </si>
  <si>
    <t>Running (Standby)</t>
  </si>
  <si>
    <t>2(0)</t>
  </si>
  <si>
    <t>4 (0)</t>
  </si>
  <si>
    <t>3 (0)</t>
  </si>
  <si>
    <t>2 (0)</t>
  </si>
  <si>
    <t>1 (0)</t>
  </si>
  <si>
    <t>1 (1)</t>
  </si>
  <si>
    <t>3(0)</t>
  </si>
  <si>
    <t>4(0)</t>
  </si>
  <si>
    <t>1(1)</t>
    <phoneticPr fontId="1" type="noConversion"/>
  </si>
  <si>
    <t>1 (1)</t>
    <phoneticPr fontId="1" type="noConversion"/>
  </si>
  <si>
    <t>4(1)</t>
    <phoneticPr fontId="1" type="noConversion"/>
  </si>
  <si>
    <t>2 ( No Standby Cutter Only Standby cutting Head)</t>
  </si>
  <si>
    <t>Die plate holes</t>
  </si>
  <si>
    <t>70/80</t>
  </si>
  <si>
    <t>Bad cut or 2200 hs</t>
  </si>
  <si>
    <t>5760 hs</t>
  </si>
  <si>
    <t xml:space="preserve">5760 hs </t>
  </si>
  <si>
    <t>Water System:</t>
  </si>
  <si>
    <t>Band filter type</t>
  </si>
  <si>
    <t>Material</t>
  </si>
  <si>
    <t>dry cutter</t>
  </si>
  <si>
    <t>Polyester</t>
  </si>
  <si>
    <t>Spunbonded Polyester Nonwoven</t>
  </si>
  <si>
    <t>Vinyl  Acetaat Copolymer</t>
  </si>
  <si>
    <t>Use JF and JT</t>
  </si>
  <si>
    <t>Polyester</t>
    <phoneticPr fontId="1" type="noConversion"/>
  </si>
  <si>
    <t>SS candle filter</t>
    <phoneticPr fontId="1" type="noConversion"/>
  </si>
  <si>
    <t>100% Polyester / 100% Polyviscos</t>
  </si>
  <si>
    <t xml:space="preserve">Polyester </t>
  </si>
  <si>
    <t>70% rayon / 30% polyester</t>
  </si>
  <si>
    <t>30-35 °C</t>
  </si>
  <si>
    <t>29-32 °c</t>
  </si>
  <si>
    <t>33-36 °C</t>
  </si>
  <si>
    <t>Size</t>
  </si>
  <si>
    <t>10 µ</t>
  </si>
  <si>
    <t>20 µ</t>
  </si>
  <si>
    <t>110 micron</t>
  </si>
  <si>
    <t>No band Filter in original design. New Band Filter installation work in Progress. Expected to commission in Dec-16.</t>
  </si>
  <si>
    <t>20 micron</t>
  </si>
  <si>
    <t>20 µ</t>
    <phoneticPr fontId="1" type="noConversion"/>
  </si>
  <si>
    <t>60/62 µm</t>
  </si>
  <si>
    <t xml:space="preserve">10Micron </t>
  </si>
  <si>
    <t>55 µ</t>
  </si>
  <si>
    <t>Demineralized water</t>
  </si>
  <si>
    <t xml:space="preserve">Detailed specification </t>
  </si>
  <si>
    <t xml:space="preserve">Type : EB 050 30W / Weight : 50 g/sqm / Thickness : 0.22 mm / water flowrate : 250 l/m2/sec / micron : 10  / Width : 1.4 mtr / Length : 200 mtr </t>
  </si>
  <si>
    <t xml:space="preserve">Supplier / cost per roll </t>
  </si>
  <si>
    <t xml:space="preserve">SIAM NATHAN /  7500 THB /  roll </t>
  </si>
  <si>
    <t>Frequency of Changing</t>
  </si>
  <si>
    <t>200 MTR</t>
  </si>
  <si>
    <t>10 days</t>
  </si>
  <si>
    <t>250 MTR (5 Days)</t>
  </si>
  <si>
    <t>14 DAYS</t>
  </si>
  <si>
    <t xml:space="preserve">3 DAYS  testing </t>
  </si>
  <si>
    <t>3 DAYS</t>
  </si>
  <si>
    <t>7 DAYS</t>
  </si>
  <si>
    <t>11 DAYS</t>
  </si>
  <si>
    <t>7 days</t>
  </si>
  <si>
    <t>5 days</t>
  </si>
  <si>
    <t>cleaning every 3-4 days</t>
    <phoneticPr fontId="1" type="noConversion"/>
  </si>
  <si>
    <t>15 days</t>
  </si>
  <si>
    <t>8 DAYS</t>
  </si>
  <si>
    <t>20 DAYS</t>
  </si>
  <si>
    <t>4 days</t>
  </si>
  <si>
    <t>Algae treatment system</t>
  </si>
  <si>
    <t>H2O2 Dosing + cat</t>
  </si>
  <si>
    <t>Biosperse 231. (1,3,5-TRICHLORO-1,3,5-TRIAZINE-2,4,6 (1H,3H,5H)-TRIONE)</t>
  </si>
  <si>
    <t>Nalco2510-2Lit/day</t>
  </si>
  <si>
    <t xml:space="preserve">Tarn-Pure © </t>
  </si>
  <si>
    <t>chloride</t>
  </si>
  <si>
    <r>
      <t>H</t>
    </r>
    <r>
      <rPr>
        <vertAlign val="subscript"/>
        <sz val="12"/>
        <color indexed="8"/>
        <rFont val="Calibri"/>
        <family val="2"/>
      </rPr>
      <t>2</t>
    </r>
    <r>
      <rPr>
        <sz val="12"/>
        <color indexed="8"/>
        <rFont val="Calibri"/>
        <family val="2"/>
      </rPr>
      <t>O</t>
    </r>
    <r>
      <rPr>
        <vertAlign val="subscript"/>
        <sz val="12"/>
        <color indexed="8"/>
        <rFont val="Calibri"/>
        <family val="2"/>
      </rPr>
      <t>2</t>
    </r>
    <r>
      <rPr>
        <sz val="12"/>
        <color indexed="8"/>
        <rFont val="Calibri"/>
        <family val="2"/>
      </rPr>
      <t xml:space="preserve"> dosing</t>
    </r>
  </si>
  <si>
    <t>H2O2 dosing</t>
    <phoneticPr fontId="1" type="noConversion"/>
  </si>
  <si>
    <t>NA</t>
    <phoneticPr fontId="1" type="noConversion"/>
  </si>
  <si>
    <r>
      <t>H</t>
    </r>
    <r>
      <rPr>
        <vertAlign val="subscript"/>
        <sz val="12"/>
        <rFont val="Calibri"/>
        <family val="2"/>
      </rPr>
      <t>2</t>
    </r>
    <r>
      <rPr>
        <sz val="12"/>
        <rFont val="Calibri"/>
        <family val="2"/>
      </rPr>
      <t>O</t>
    </r>
    <r>
      <rPr>
        <vertAlign val="subscript"/>
        <sz val="12"/>
        <rFont val="Calibri"/>
        <family val="2"/>
      </rPr>
      <t>2</t>
    </r>
    <r>
      <rPr>
        <sz val="12"/>
        <rFont val="Calibri"/>
        <family val="2"/>
      </rPr>
      <t xml:space="preserve"> dosing</t>
    </r>
  </si>
  <si>
    <r>
      <t>H</t>
    </r>
    <r>
      <rPr>
        <vertAlign val="subscript"/>
        <sz val="12"/>
        <color theme="1"/>
        <rFont val="Calibri"/>
        <family val="2"/>
      </rPr>
      <t>2</t>
    </r>
    <r>
      <rPr>
        <sz val="12"/>
        <color theme="1"/>
        <rFont val="Calibri"/>
        <family val="2"/>
      </rPr>
      <t>O</t>
    </r>
    <r>
      <rPr>
        <vertAlign val="subscript"/>
        <sz val="12"/>
        <color theme="1"/>
        <rFont val="Calibri"/>
        <family val="2"/>
      </rPr>
      <t>2</t>
    </r>
    <r>
      <rPr>
        <sz val="12"/>
        <color theme="1"/>
        <rFont val="Calibri"/>
        <family val="2"/>
      </rPr>
      <t xml:space="preserve"> dosing</t>
    </r>
  </si>
  <si>
    <t>NaOCl Dosing ( Sodium Hypochloride)</t>
  </si>
  <si>
    <t>Cu/Ag inonization</t>
  </si>
  <si>
    <t>once/3 months 
(2200 hrs)</t>
  </si>
  <si>
    <t>0nce a week taking advantage of the water screener cleaning routine</t>
  </si>
  <si>
    <t>once per month</t>
  </si>
  <si>
    <t xml:space="preserve">Microfilter </t>
  </si>
  <si>
    <t>Nos</t>
  </si>
  <si>
    <t>duplex</t>
  </si>
  <si>
    <t>Duplex</t>
  </si>
  <si>
    <t>single</t>
  </si>
  <si>
    <t>SINGLE</t>
  </si>
  <si>
    <t xml:space="preserve">No algae treatment in original design.  Planned to install hydrogen per-oxide dosing system to prevent algae generation.     </t>
  </si>
  <si>
    <t>single( duplex installed in one cutter)</t>
  </si>
  <si>
    <t>Duplex</t>
    <phoneticPr fontId="1" type="noConversion"/>
  </si>
  <si>
    <t>SINGLE</t>
    <phoneticPr fontId="1" type="noConversion"/>
  </si>
  <si>
    <t>dual</t>
  </si>
  <si>
    <t>Size (mesh)</t>
  </si>
  <si>
    <t>0.5 mm</t>
  </si>
  <si>
    <t>Micro-filter candle is removed  as cutter was frequently choking.</t>
  </si>
  <si>
    <t>Water jet cleaning</t>
  </si>
  <si>
    <t>Flow meters</t>
  </si>
  <si>
    <t>Type</t>
  </si>
  <si>
    <t>Rotameter</t>
  </si>
  <si>
    <t>rotameter</t>
  </si>
  <si>
    <t xml:space="preserve">KROHNE DW182/C/C053/A/K1 and DW182/C/C052/A/K1(Float Type) </t>
  </si>
  <si>
    <t>Venturi tube DP</t>
  </si>
  <si>
    <t>FLOWMETER Heinrichs</t>
  </si>
  <si>
    <t>FLOWMETER,BGF 120-50,P/N 301126</t>
  </si>
  <si>
    <t>venturi tube DP flowmeter</t>
  </si>
  <si>
    <t>venturi tube DP flow meter</t>
  </si>
  <si>
    <t>rotameter</t>
    <phoneticPr fontId="1" type="noConversion"/>
  </si>
  <si>
    <t>venturi tube DP flowmeter</t>
    <phoneticPr fontId="1" type="noConversion"/>
  </si>
  <si>
    <t>Variable area Flowmeter</t>
  </si>
  <si>
    <t>AXF050 G YOKOGAWA</t>
  </si>
  <si>
    <t>Heinrichs BGF variable area flow meter</t>
  </si>
  <si>
    <t>Cleaning frequency</t>
  </si>
  <si>
    <t>N/A</t>
  </si>
  <si>
    <t>Stoppage</t>
  </si>
  <si>
    <t>3 month</t>
  </si>
  <si>
    <t>Opportunity based</t>
  </si>
  <si>
    <t>Every 4 months</t>
  </si>
  <si>
    <t>if needed</t>
  </si>
  <si>
    <t>1.3/month</t>
  </si>
  <si>
    <t>two/month</t>
  </si>
  <si>
    <t>four/month</t>
  </si>
  <si>
    <t>Water type</t>
  </si>
  <si>
    <t>DM</t>
  </si>
  <si>
    <t>demin water</t>
  </si>
  <si>
    <t>Demineralized( DM Water)</t>
  </si>
  <si>
    <t>PM schedules:</t>
  </si>
  <si>
    <t>cooling water</t>
  </si>
  <si>
    <t>Throughput/hr/cutter</t>
  </si>
  <si>
    <t>kg/hr</t>
  </si>
  <si>
    <t>4200 / 5500</t>
  </si>
  <si>
    <t>4000~10000</t>
  </si>
  <si>
    <t>3500 (min) -12020 (max)</t>
  </si>
  <si>
    <t>Centrifugal (GALA dryer 32.3BF/DWH/ECLN)</t>
  </si>
  <si>
    <t>C-Gala dryer 32.32ECLN</t>
  </si>
  <si>
    <t>Dryer type</t>
  </si>
  <si>
    <t>-</t>
  </si>
  <si>
    <t>Mutschink R15/2</t>
  </si>
  <si>
    <t>AERO LINE 1000</t>
  </si>
  <si>
    <t>Vertical-LG600</t>
  </si>
  <si>
    <t>AERO 1000 type air dryer</t>
  </si>
  <si>
    <t>Aero 1000</t>
  </si>
  <si>
    <t>B&amp;B centrifugal</t>
  </si>
  <si>
    <t>AERO 800 -C type air dryer</t>
  </si>
  <si>
    <t>CENTRO -spin  dryer</t>
  </si>
  <si>
    <t>AERO 1000</t>
  </si>
  <si>
    <t>AERO line</t>
  </si>
  <si>
    <t>LSD Pellet dryer (spin dryer)</t>
  </si>
  <si>
    <t>GT 800/3  LO/RE</t>
    <phoneticPr fontId="1" type="noConversion"/>
  </si>
  <si>
    <t>Centrifugal</t>
  </si>
  <si>
    <t>GT 800 / 2 -C type air dryer</t>
  </si>
  <si>
    <t>AERO Line 800</t>
  </si>
  <si>
    <t>AERO 800</t>
  </si>
  <si>
    <t>Dryer cleaning schedule</t>
  </si>
  <si>
    <t>according typechange &lt; 30days</t>
  </si>
  <si>
    <t>30 days</t>
  </si>
  <si>
    <t>Twice per Day</t>
  </si>
  <si>
    <t>Air jet cleaning - every 6 week
Mesh changing - once in a year</t>
  </si>
  <si>
    <t xml:space="preserve">Air jet cleaning - every 7 days
</t>
  </si>
  <si>
    <t>6 month</t>
  </si>
  <si>
    <t>Air jet cleaning - every 8 hours
Mesh changing - once in a month</t>
  </si>
  <si>
    <t>Air flushing - Once in  8 hrs. Mesh cleaning on opportunity base (3 months)</t>
  </si>
  <si>
    <t>Opportunity based (3 months)</t>
  </si>
  <si>
    <t>Air jet cleaning -once in a month
Mesh changing - once in a week</t>
    <phoneticPr fontId="1" type="noConversion"/>
  </si>
  <si>
    <t>Air jet cleaning - once in a month
Mesh changing - once in a week</t>
    <phoneticPr fontId="1" type="noConversion"/>
  </si>
  <si>
    <t>Mesh cleaning - once a week.</t>
  </si>
  <si>
    <t>Air jet cleaning - every 12 hours water cleaning - once in a month</t>
  </si>
  <si>
    <t>Air jet cleaning - every 8 hours
Mesh changing - every 3 months</t>
  </si>
  <si>
    <t>Air jet cleaning - every 8 hours</t>
  </si>
  <si>
    <t>weekly</t>
  </si>
  <si>
    <t>Dryer cleaning procedure</t>
  </si>
  <si>
    <t>High pressure water</t>
  </si>
  <si>
    <t>High pressure water and air</t>
  </si>
  <si>
    <t>Air/DM Water Jet</t>
  </si>
  <si>
    <t>air jet cleaning</t>
  </si>
  <si>
    <t>air jet cleaning / water</t>
  </si>
  <si>
    <t>Water.</t>
  </si>
  <si>
    <t xml:space="preserve">Cleaning with air- 5 bar press </t>
  </si>
  <si>
    <t>Cpompressed air cleaning</t>
  </si>
  <si>
    <t>compressed air cleaning</t>
  </si>
  <si>
    <t>air jet cleaning</t>
    <phoneticPr fontId="1" type="noConversion"/>
  </si>
  <si>
    <t>Water Cleaning</t>
  </si>
  <si>
    <t>Air jet cleaning/water cleanning</t>
  </si>
  <si>
    <t>Air jet cleaning</t>
  </si>
  <si>
    <t>wash dryers weekly (during operation)
full cleaning every PM (monthly)</t>
  </si>
  <si>
    <t>Dryer Air filter cleaning</t>
  </si>
  <si>
    <t>days</t>
  </si>
  <si>
    <t>DPI control</t>
  </si>
  <si>
    <t>3 months</t>
  </si>
  <si>
    <t>Once in a day</t>
  </si>
  <si>
    <t>Spray nozzle cleaning</t>
  </si>
  <si>
    <t>when needed</t>
  </si>
  <si>
    <t xml:space="preserve">When necesary, checked by operators and also in mensual preventive </t>
  </si>
  <si>
    <t>Revison Op y preventivos  mensuales</t>
  </si>
  <si>
    <t>Every Shift</t>
  </si>
  <si>
    <t>once a week</t>
  </si>
  <si>
    <t>regular (when noticed less spray)</t>
  </si>
  <si>
    <t>Monyhly</t>
  </si>
  <si>
    <t>during opportunity, if required</t>
  </si>
  <si>
    <t>as needed (during operation)</t>
  </si>
  <si>
    <t>twice a day</t>
  </si>
  <si>
    <t xml:space="preserve">Automatik P/N 3101688  
1140 X 1300 X 20MM
 NO. 49.30.720-948 &amp; 49
</t>
  </si>
  <si>
    <t>Mesh wound bucket type</t>
  </si>
  <si>
    <t>Mesh wound catridge type-single</t>
  </si>
  <si>
    <t>Mesh wound bucket type</t>
    <phoneticPr fontId="1" type="noConversion"/>
  </si>
  <si>
    <t>ACS FILTER MEDIA-AIR-PST 290-10 MICRON-BLUE - SIZE.: 2 X 20'-</t>
  </si>
  <si>
    <t>Average life</t>
  </si>
  <si>
    <t>&lt; One Day</t>
  </si>
  <si>
    <t>4 months</t>
  </si>
  <si>
    <t>4 DAYS</t>
  </si>
  <si>
    <t>3 days (regular cleaning)</t>
  </si>
  <si>
    <t>3DAYS</t>
    <phoneticPr fontId="1" type="noConversion"/>
  </si>
  <si>
    <t>4 DAYS</t>
    <phoneticPr fontId="1" type="noConversion"/>
  </si>
  <si>
    <t>1 day</t>
  </si>
  <si>
    <t>4days</t>
  </si>
  <si>
    <t>Maintenance schedule:</t>
  </si>
  <si>
    <t>Replacement once in Year</t>
  </si>
  <si>
    <t>Spider coupling</t>
  </si>
  <si>
    <t>?</t>
  </si>
  <si>
    <t xml:space="preserve">Model Normex 128 / 82 </t>
  </si>
  <si>
    <t>Freq of changing</t>
  </si>
  <si>
    <t>1 year</t>
  </si>
  <si>
    <t>1 YEAR</t>
  </si>
  <si>
    <t>1 Years</t>
  </si>
  <si>
    <t xml:space="preserve">5 months </t>
  </si>
  <si>
    <t>120days</t>
    <phoneticPr fontId="1" type="noConversion"/>
  </si>
  <si>
    <t>180days</t>
    <phoneticPr fontId="1" type="noConversion"/>
  </si>
  <si>
    <t>90days</t>
    <phoneticPr fontId="1" type="noConversion"/>
  </si>
  <si>
    <t>1 Year</t>
  </si>
  <si>
    <t>240 days for Rubber coupling between Motor and Gearbox</t>
  </si>
  <si>
    <t>Silicon Strip at outlet of cutter</t>
  </si>
  <si>
    <t>6 (full block type)</t>
  </si>
  <si>
    <t>Tailor made blocking</t>
  </si>
  <si>
    <t xml:space="preserve"> - </t>
  </si>
  <si>
    <t>turnaround (if needed)</t>
  </si>
  <si>
    <t>Cutter Rotor Regrinding</t>
  </si>
  <si>
    <t>8000h</t>
  </si>
  <si>
    <t>more than 365 days</t>
  </si>
  <si>
    <t>150 days</t>
  </si>
  <si>
    <t>RFR Bearing change</t>
  </si>
  <si>
    <t>FFR Bearing change</t>
  </si>
  <si>
    <t>4000h</t>
  </si>
  <si>
    <t>Full Cleaning</t>
  </si>
  <si>
    <t>when nedded</t>
  </si>
  <si>
    <t>90 days</t>
  </si>
  <si>
    <t>Hoses cleaning schedule</t>
  </si>
  <si>
    <t>Oportunity based</t>
  </si>
  <si>
    <t>Opportunity based</t>
    <phoneticPr fontId="1" type="noConversion"/>
  </si>
  <si>
    <t>Monthly</t>
  </si>
  <si>
    <t>2-3 years (only if any issue)</t>
  </si>
  <si>
    <t>Water distributor cleaning</t>
  </si>
  <si>
    <t>Operating Conditions:</t>
  </si>
  <si>
    <t>No. of PLANNED cutter stoppages</t>
  </si>
  <si>
    <t>according typ change &lt; 30 days</t>
  </si>
  <si>
    <t>1/7 weeks</t>
  </si>
  <si>
    <t>1/month</t>
  </si>
  <si>
    <t>1 / 3 month</t>
  </si>
  <si>
    <t>once in 4 months</t>
  </si>
  <si>
    <t>1 / month</t>
  </si>
  <si>
    <t>1/ 2 months</t>
  </si>
  <si>
    <t>2 months (if required)</t>
  </si>
  <si>
    <t>2months</t>
    <phoneticPr fontId="1" type="noConversion"/>
  </si>
  <si>
    <t xml:space="preserve"> 3 months</t>
    <phoneticPr fontId="1" type="noConversion"/>
  </si>
  <si>
    <t>1month</t>
    <phoneticPr fontId="1" type="noConversion"/>
  </si>
  <si>
    <t xml:space="preserve"> once in four months</t>
  </si>
  <si>
    <t>1 / 4 months</t>
  </si>
  <si>
    <t>Nil as no Standby Available.( All Stopagges are based on actual condition like Die-Plate replacement ,Start up Table PM )</t>
  </si>
  <si>
    <t>deg C</t>
  </si>
  <si>
    <t>max 37</t>
  </si>
  <si>
    <t>25-30</t>
  </si>
  <si>
    <t>33 to 38</t>
  </si>
  <si>
    <t>Max. 25</t>
  </si>
  <si>
    <t>33 ~ 37</t>
  </si>
  <si>
    <t>34 ~ 37</t>
  </si>
  <si>
    <t>34-39</t>
  </si>
  <si>
    <t>49 - 54</t>
  </si>
  <si>
    <t>28-38</t>
  </si>
  <si>
    <t>Strand monitoring sensor</t>
  </si>
  <si>
    <t>RECEIVER ILX-2-E-GF/12V/DC, 
TRANSMITTER ILX-2-S-GF/12V/DC</t>
  </si>
  <si>
    <t>IR temp sensor / RAYTXS-LT-SF-IS2</t>
  </si>
  <si>
    <t>INFRA SENSOR CI3-A</t>
  </si>
  <si>
    <t>PHOTO sensor
Receiver: IRL-56P-E-GF-24V/DC
Transmitter: IRL-56-S-GF-24V/DC</t>
  </si>
  <si>
    <t xml:space="preserve">
Receiver: AX-56P-P30-GF-24V/DC
Transmitter: AX-56S-P30-GF-24V/DC</t>
  </si>
  <si>
    <t>Receiver: AX-56P-P30-GF-24V/DC
Transmitter: AX-56S-P30-GF-24V/DC</t>
  </si>
  <si>
    <t>SK-3000-4-1 &amp; SK-2000-4-1</t>
  </si>
  <si>
    <r>
      <t xml:space="preserve">Through Beam Optical sensor OBE10M-18GM60-SE5-V1,M 18,10 Mtr - 2cutters    &amp;      </t>
    </r>
    <r>
      <rPr>
        <sz val="12"/>
        <color rgb="FF0070C0"/>
        <rFont val="Calibri"/>
        <family val="2"/>
      </rPr>
      <t>Transmitter - AX - S - 56 - P30 - GF ,13.6 VDC   Receiver-AX - E - 56 - P30 - GF  13.6 VDC - 1 cutter</t>
    </r>
  </si>
  <si>
    <t xml:space="preserve">Through Beam Optical sensor OBE10M-18GM60-SE5-V1,M 18,10 Mtr </t>
  </si>
  <si>
    <t>PHOTO sensor
Receiver: ILX-25-E-GF-12V/DC
Transmitter:ILX-25-S-GF-12V/DC</t>
    <phoneticPr fontId="1" type="noConversion"/>
  </si>
  <si>
    <t>LS-3, Light Barrier, 
Send:AX-S-56-P30-GF
Receive:AX-E-56-P30-GF
Converter:NEX-112-R-230VAC</t>
  </si>
  <si>
    <t>PHOTO sensor Reciver ILX-25-E-GF/12V/DC Transimitter IXL-25-S-GF/12V/DC</t>
  </si>
  <si>
    <t>PHOTO sensor
Receiver: AX-E-56-P30-GF-12V/DC
Transmitter: AX-E-56-P30-GF-12V/DC</t>
  </si>
  <si>
    <t>RECEIVER ILX-25-E-GF/12V/DC, TRANSMITTER ILX-25-S-GF/12V/DC</t>
  </si>
  <si>
    <t>photo (optical)</t>
  </si>
  <si>
    <t>Make/ Model</t>
  </si>
  <si>
    <t>Tippkemper</t>
  </si>
  <si>
    <t>RAYTEK</t>
  </si>
  <si>
    <t>TIPPKEMPER</t>
  </si>
  <si>
    <t>TIPP KEMPER</t>
  </si>
  <si>
    <r>
      <t>Pepperl + Fuchs-2 set &amp;</t>
    </r>
    <r>
      <rPr>
        <sz val="12"/>
        <color rgb="FF0070C0"/>
        <rFont val="Calibri"/>
        <family val="2"/>
      </rPr>
      <t xml:space="preserve"> TIPPKEMPER-1 set</t>
    </r>
  </si>
  <si>
    <t>Pepperl + Fuchs</t>
  </si>
  <si>
    <t>TIPPKEMPER
Receiver: ILX-25-E-GF/12V/DC
Transmitter: ILX-25-S-GF/12V/DC</t>
  </si>
  <si>
    <t>TIPPKEMPER
Receiver: IRL-56P-E-GF-24V/DC
Transmitter: IRL-56-S-GF-24V/DC</t>
  </si>
  <si>
    <t>Set point</t>
  </si>
  <si>
    <t>na</t>
  </si>
  <si>
    <t>Middle</t>
  </si>
  <si>
    <t>%</t>
  </si>
  <si>
    <t>&lt; 0.1 %</t>
  </si>
  <si>
    <t>0.10- 0.15
( Waste High as No Standby cutter Available and during any Failure /PM /Cutting Head Change Waste is generated)</t>
  </si>
  <si>
    <t>Chipper cooling media</t>
  </si>
  <si>
    <t>cooling and chiller  water</t>
  </si>
  <si>
    <t>DM Water/Cooling Water</t>
  </si>
  <si>
    <t>cooled dm</t>
  </si>
  <si>
    <t>Cooling water</t>
  </si>
  <si>
    <t>chilled water</t>
  </si>
  <si>
    <t>Cooling Water/Chilled Water.</t>
  </si>
  <si>
    <t>Strand speed</t>
  </si>
  <si>
    <t>Cutter sensor details :</t>
  </si>
  <si>
    <t>US - B1  Proximity sensor for Cover of cutter</t>
  </si>
  <si>
    <t>Pepperl + Fuchs 
NCB5-18GM40-NO</t>
  </si>
  <si>
    <t>NCB 5-18GM40</t>
  </si>
  <si>
    <t>TURCK BI5-G18-Y1X</t>
  </si>
  <si>
    <t>PEPPERL + FUCHS, NJ3-18GK-S1N</t>
  </si>
  <si>
    <t>NCB5-18GM40-NO</t>
  </si>
  <si>
    <t>NBB5-18GM40-Z0</t>
  </si>
  <si>
    <t>NJ5--30-GK-SIN</t>
    <phoneticPr fontId="1" type="noConversion"/>
  </si>
  <si>
    <t>NJ3-18GK-S1N</t>
    <phoneticPr fontId="1" type="noConversion"/>
  </si>
  <si>
    <t>LS-6,7 for Left &amp; Right
NCB5-18GM40-NO</t>
  </si>
  <si>
    <t>NJ-5-30GK-S1N</t>
  </si>
  <si>
    <t>MAG. OP. 120 230 21 150V, 1A 20W</t>
  </si>
  <si>
    <t>NJ5-30GK-SIN</t>
  </si>
  <si>
    <t>NJ 5-30GK-S1N</t>
  </si>
  <si>
    <t>Inspection</t>
  </si>
  <si>
    <t>Every cutter change</t>
  </si>
  <si>
    <t>Every cutter PM 4 months</t>
  </si>
  <si>
    <t>EVERY CUTTER CHANGE</t>
  </si>
  <si>
    <t>every PM</t>
  </si>
  <si>
    <t>Failure rate</t>
  </si>
  <si>
    <t>1/5 year</t>
  </si>
  <si>
    <t>No failute till date</t>
  </si>
  <si>
    <t>1/year</t>
  </si>
  <si>
    <t>1 /    2year</t>
  </si>
  <si>
    <t>Sensor not failed in last 5 years</t>
  </si>
  <si>
    <t>2/YEAR</t>
  </si>
  <si>
    <t>1/year - Numeruos failure during start up only</t>
  </si>
  <si>
    <t>US - B3  Proximity sensor for guide section in position</t>
  </si>
  <si>
    <t>TURCK BI10-P30-Y1/S100</t>
  </si>
  <si>
    <t xml:space="preserve">PEPPERL + FUCHS, NJ3-18GK-S1N </t>
  </si>
  <si>
    <t>NJ5-30GK-S1N</t>
  </si>
  <si>
    <t>NJ3-18GK-S1N</t>
  </si>
  <si>
    <t>NBB5-18GM50-E2</t>
  </si>
  <si>
    <t>LS-4, Model:NCB5-18GM40-NO</t>
  </si>
  <si>
    <t>NJ5-18GM-N</t>
  </si>
  <si>
    <t>NJ 3-18GK-S1N</t>
  </si>
  <si>
    <t>No any failute till date</t>
  </si>
  <si>
    <t>1 /    5year</t>
  </si>
  <si>
    <t>1 /     3year</t>
  </si>
  <si>
    <t xml:space="preserve">US - B4  Proximity sensor for interlocking cylinder – Locked </t>
  </si>
  <si>
    <t>Pepperl + Fuchs
NJ5-30GK-S1n</t>
  </si>
  <si>
    <t>TURCK BI5-M18-Y0X-H114</t>
  </si>
  <si>
    <t>NCB5-18GM40-NC</t>
  </si>
  <si>
    <t>LS-5, Model:NCB5-18GM40-NO</t>
  </si>
  <si>
    <t>NJ2-11-NG</t>
  </si>
  <si>
    <t>2/year</t>
  </si>
  <si>
    <t>Speed Sensor for Rotary, Upper &amp; Lower Roller</t>
  </si>
  <si>
    <t>LS-8,9,10, Model:NCB5-18GM40-NO</t>
  </si>
  <si>
    <t>Proximity Sensor for palletizer Support Locate Position</t>
  </si>
  <si>
    <t>LS-11, Model:NCB5-18GM40-NO</t>
  </si>
  <si>
    <t>Sensor surface damages physically because of granuallets entered between gears and causes friction</t>
  </si>
  <si>
    <t>Major Failures:</t>
  </si>
  <si>
    <t>Failure gear motor cutter
magnetic valve guide section</t>
  </si>
  <si>
    <t>1. Dryer shaft bearing failure
2. Micro filter welding failure blocked overflow water
3. cutter main motor failure</t>
  </si>
  <si>
    <t>1) Cutter no. C , classifier motor bearing problem so replaced the same with new ones.
2) Cutter A Die head HTM leak</t>
  </si>
  <si>
    <t>1.cutter main motor failure 
2. Cutter front feed roller motor failure</t>
  </si>
  <si>
    <t>1.Cutter blocked with polymer 
2. dryer blocked with pellets
3. adjustment cutters due to startups
4. cutters running over design capacity</t>
  </si>
  <si>
    <t>1. pellets in convey water
2. quality cutterwater</t>
  </si>
  <si>
    <t xml:space="preserve">1)Clasifier motor failure     </t>
  </si>
  <si>
    <t>1)Dryer shaft bearing failure         2)Feed roller motor failure</t>
  </si>
  <si>
    <t>1.Press roller surface  failure</t>
    <phoneticPr fontId="1" type="noConversion"/>
  </si>
  <si>
    <t>1. Press roller surface  failure</t>
    <phoneticPr fontId="1" type="noConversion"/>
  </si>
  <si>
    <t>1. Cutter house bearing failure
2. Cutter coupling failure</t>
    <phoneticPr fontId="1" type="noConversion"/>
  </si>
  <si>
    <t xml:space="preserve">1. Key miga gear upper feed roll loose  </t>
  </si>
  <si>
    <t xml:space="preserve">1.Cutter main motor failure 
</t>
  </si>
  <si>
    <t xml:space="preserve">1.Startup Table Slow Movement.
2. Polymer Lump on accumulation on Strand Guide section.
3.Classifier Motor failure.
</t>
  </si>
  <si>
    <t>Strand monitoring</t>
  </si>
  <si>
    <t>cutter motor failure</t>
  </si>
  <si>
    <t>Repetitive Failures:</t>
  </si>
  <si>
    <t>cover sensor malfuntion</t>
  </si>
  <si>
    <t>twins</t>
  </si>
  <si>
    <t>IR sensor malfunction not triping cutter when lumps formed</t>
  </si>
  <si>
    <t>idem</t>
  </si>
  <si>
    <t>No problem</t>
  </si>
  <si>
    <t>Cuttingiude sensor malfunction</t>
  </si>
  <si>
    <t>Long and thin pellets during start up</t>
  </si>
  <si>
    <t>polymer quality (IV due to vacuum)</t>
  </si>
  <si>
    <t>giude sensor malfunction</t>
  </si>
  <si>
    <t>1. Blocking, strand monitoring sensor not reading.
2. JF filter dirt make water flow less.
3. Cable sensor broken</t>
  </si>
  <si>
    <t>dust stuck at over flow water causing starnd monitoring trips</t>
  </si>
  <si>
    <t>wrapping</t>
  </si>
  <si>
    <t>Long and thin pellets during running</t>
    <phoneticPr fontId="1" type="noConversion"/>
  </si>
  <si>
    <t>cover is difficult to open</t>
  </si>
  <si>
    <t xml:space="preserve">1.Guide inposition of Rotor ( Alarm 9 )
</t>
  </si>
  <si>
    <t>1.Strand Monitoring due to Algae ( Alarm 25)
2.Cover Lock/Unlock Sensor .
3. Cutter Cover Open Sensor .</t>
  </si>
  <si>
    <t>guide section sensor</t>
  </si>
  <si>
    <t>chain drive elongates</t>
  </si>
  <si>
    <t>1) Algae in DM system.</t>
  </si>
  <si>
    <t>uncutted strands during startups</t>
  </si>
  <si>
    <t>guide sensor malfunction</t>
  </si>
  <si>
    <t>Pellet chip shape uneven, some polymer hair wound at back feed roll</t>
  </si>
  <si>
    <t>poor cutting</t>
  </si>
  <si>
    <t>uncut strand generation</t>
  </si>
  <si>
    <t>Cutter cannot start at operating capacity . Need to reduce through put to 120 TPD.</t>
  </si>
  <si>
    <t>strand monitoring sensor</t>
  </si>
  <si>
    <t>Cutter cannot start at operating capacity (152 TPD). Need to reduce through put to 120 TPD, and lower cutter speed (175 against 218 running). Only after this, polymer can be taken in, else lumps form at cutter inlet</t>
  </si>
  <si>
    <t>1) Cutter cannot start at 220 TPD, needs to reduce T.P. to 50%
2) Frequent Cutter blade damage causing cutting defects.
3) Dryer fan (C.Steel)+duct water leak.</t>
  </si>
  <si>
    <t>Double chip, two strand polymer meet.</t>
  </si>
  <si>
    <t>The major failures mentioned below have been resolved since Dec'15</t>
  </si>
  <si>
    <t>1.Dryer Belt broken
2. Dryer motor shaft &amp; housing damages
3. Speed sensor damage due to belt</t>
  </si>
  <si>
    <t>Cutter cannot start at operating capacity (150 TPD). Need to reduce through put to 100 TPD, and higher cutter speed. Only after this, polymer can be taken in, else lumps form at cutter inlet</t>
  </si>
  <si>
    <t>Shore hardness</t>
  </si>
  <si>
    <t>Cutter regrinding company</t>
  </si>
  <si>
    <t>No. of spare assembled cutting heads</t>
  </si>
  <si>
    <t>Plant running capacity</t>
  </si>
  <si>
    <t>TPD</t>
  </si>
  <si>
    <t>Cutter capacity max as per OEM</t>
  </si>
  <si>
    <t>Nos.</t>
  </si>
  <si>
    <t>Cutter regrinding (Tons/regrinding)</t>
  </si>
  <si>
    <t>Tons</t>
  </si>
  <si>
    <t>Bandfilter consumption rate</t>
  </si>
  <si>
    <t>Production Tons/Roll</t>
  </si>
  <si>
    <t>Cutter water make up rate</t>
  </si>
  <si>
    <t>l/hr</t>
  </si>
  <si>
    <t>Full cleaning activities list</t>
  </si>
  <si>
    <t>Cutter type</t>
  </si>
  <si>
    <t>Vertical / Horizontal</t>
  </si>
  <si>
    <t>SAP Functional location for cutters</t>
  </si>
  <si>
    <t>Die Head Temperature</t>
  </si>
  <si>
    <t>bars</t>
  </si>
  <si>
    <t>°C</t>
  </si>
  <si>
    <t>Die Head Pressure</t>
  </si>
  <si>
    <t>Spray water flow rate</t>
  </si>
  <si>
    <t>Overflow water flow rate</t>
  </si>
  <si>
    <t>Conveying water flow rate</t>
  </si>
  <si>
    <t>Screener / classifier type</t>
  </si>
  <si>
    <t>Supplier</t>
  </si>
  <si>
    <t>PM activities for Screener</t>
  </si>
  <si>
    <t>Screener / Classifier</t>
  </si>
  <si>
    <t>Die Head pressure</t>
  </si>
  <si>
    <t>Cutter speed</t>
  </si>
  <si>
    <t>Strand guide position indicator</t>
  </si>
  <si>
    <t>Chips size</t>
  </si>
  <si>
    <t>chips/g</t>
  </si>
  <si>
    <t>DM water pressure indication</t>
  </si>
  <si>
    <t>Spray water flow</t>
  </si>
  <si>
    <t>Overflow water flow</t>
  </si>
  <si>
    <t>Conveying water flow</t>
  </si>
  <si>
    <t>Pressure roll pressure</t>
  </si>
  <si>
    <t>DCS indications from cutter (Give Tag number, if available)</t>
  </si>
  <si>
    <t>MAAG ASG 60</t>
  </si>
  <si>
    <t>CAMA TSQW900D</t>
  </si>
  <si>
    <t>CONAIR 9020</t>
  </si>
  <si>
    <t>NORDSON BKG</t>
  </si>
  <si>
    <t>IVPG</t>
  </si>
  <si>
    <t>CP3</t>
  </si>
  <si>
    <t>IVQ</t>
  </si>
  <si>
    <t>•</t>
  </si>
  <si>
    <t>IVC</t>
  </si>
  <si>
    <t>OGP</t>
  </si>
  <si>
    <t>TPT4 (APT)</t>
  </si>
  <si>
    <t>TPT4(APT)</t>
  </si>
  <si>
    <t>IVDLH</t>
  </si>
  <si>
    <t>IVLDH</t>
  </si>
  <si>
    <t>LUNARMECH US-900HM</t>
  </si>
  <si>
    <t>GIVL</t>
  </si>
  <si>
    <t>CP4</t>
  </si>
  <si>
    <t>IPIR</t>
  </si>
  <si>
    <t>GIRUNG 900V</t>
  </si>
  <si>
    <t>TPT3</t>
  </si>
  <si>
    <t>IPPI</t>
  </si>
  <si>
    <t>IRS</t>
  </si>
  <si>
    <t>STP</t>
  </si>
  <si>
    <t>IVPM</t>
  </si>
  <si>
    <t>CP12</t>
  </si>
  <si>
    <t>CP20</t>
  </si>
  <si>
    <t>CP21</t>
  </si>
  <si>
    <t>Site</t>
  </si>
  <si>
    <t>Line</t>
  </si>
  <si>
    <t># of cutters</t>
  </si>
  <si>
    <t># cutters Standby</t>
  </si>
  <si>
    <t>Capacity (TPD)</t>
  </si>
  <si>
    <t>EIPET</t>
  </si>
  <si>
    <t>IRSL</t>
  </si>
  <si>
    <t>IVPSA</t>
  </si>
  <si>
    <t>ALP</t>
  </si>
  <si>
    <t>MPET</t>
  </si>
  <si>
    <t>IVP</t>
  </si>
  <si>
    <t>Region</t>
  </si>
  <si>
    <t>EU+TR</t>
  </si>
  <si>
    <t>AMEA</t>
  </si>
  <si>
    <t>AMER</t>
  </si>
  <si>
    <t>MAAG USG 600-V</t>
  </si>
  <si>
    <t>MAAG USG-600-H</t>
  </si>
  <si>
    <t>MAAG MUSG 600-H</t>
  </si>
  <si>
    <t>MAAG USG 900-H</t>
  </si>
  <si>
    <t>MAAG MUSG-900-H</t>
  </si>
  <si>
    <t xml:space="preserve">MAAG USG 900 unspecified </t>
  </si>
  <si>
    <t>Total Numbers</t>
  </si>
  <si>
    <t>Dry cutter</t>
  </si>
  <si>
    <t>Spubonded Polyester NW</t>
  </si>
  <si>
    <t>SS Candle filter</t>
  </si>
  <si>
    <t>Polyester: Rayon 30:70</t>
  </si>
  <si>
    <t>Band Filter</t>
  </si>
  <si>
    <t>Mutschink R15</t>
  </si>
  <si>
    <t># of Dryers</t>
  </si>
  <si>
    <t>GT 800/3  LO/RE</t>
  </si>
  <si>
    <t>Spin dryer CENTRO GTC800</t>
  </si>
  <si>
    <t>Aero 800</t>
  </si>
  <si>
    <t>Aero (unspecified)</t>
  </si>
  <si>
    <t>Centrifugal (unspecified)</t>
  </si>
  <si>
    <t>Centro (model unspecified)</t>
  </si>
  <si>
    <t>Dryers</t>
  </si>
  <si>
    <t>Cutter Gearbox failure</t>
  </si>
  <si>
    <t>Magnetic valve guide section failure</t>
  </si>
  <si>
    <t>Dryer shaft bearing failure</t>
  </si>
  <si>
    <t>µfilter welding failure</t>
  </si>
  <si>
    <t>Cutter main motor failure</t>
  </si>
  <si>
    <t>Classifier motor failure</t>
  </si>
  <si>
    <t>Die Head HTM leak</t>
  </si>
  <si>
    <t>Cutter feedroll motor failure</t>
  </si>
  <si>
    <t>Pressure roll surface failure</t>
  </si>
  <si>
    <t>Cutter house bearing failure</t>
  </si>
  <si>
    <t>cutter coupling failure</t>
  </si>
  <si>
    <t xml:space="preserve"> Key miga gear upper feed roll loose  </t>
  </si>
  <si>
    <t>Startup table slow movement</t>
  </si>
  <si>
    <t>Polymer lump accunulation on strand guide section</t>
  </si>
  <si>
    <t>Strand monitoring failure</t>
  </si>
  <si>
    <t>Twin pellets</t>
  </si>
  <si>
    <t>Chain drive elongation</t>
  </si>
  <si>
    <t>Algae in DM system</t>
  </si>
  <si>
    <t>Cutter cannot start at full capacity</t>
  </si>
  <si>
    <t>Cutter blade damage frequent</t>
  </si>
  <si>
    <t>Dryer duct water leak</t>
  </si>
  <si>
    <t>Cutting guide sensor malfunction</t>
  </si>
  <si>
    <t>Poor cutting</t>
  </si>
  <si>
    <t>Strand wrapping on cutters</t>
  </si>
  <si>
    <t>Uncut strand generation</t>
  </si>
  <si>
    <t>Long and thin pellets running</t>
  </si>
  <si>
    <t>Sensor surface damage</t>
  </si>
  <si>
    <t>Dryer motor &amp; shaft housing damage</t>
  </si>
  <si>
    <t>Cover is difficult to open</t>
  </si>
  <si>
    <t>Cover Locl/Unlock sensor failure</t>
  </si>
  <si>
    <t>Overflow water ledge blockage</t>
  </si>
  <si>
    <t>Failures observed</t>
  </si>
  <si>
    <t># cutters required at MAC as per design</t>
  </si>
  <si>
    <t>No. of Dryers</t>
  </si>
  <si>
    <t>Cutter water temperature (Min/Max)</t>
  </si>
  <si>
    <t>Cutter polymer waste (%)
2025 Actual</t>
  </si>
  <si>
    <t>m/min @ TPD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</si>
</sst>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font>
    <font>
      <b/>
      <sz val="18"/>
      <color theme="1"/>
      <name val="Calibri"/>
      <family val="2"/>
    </font>
    <font>
      <sz val="11"/>
      <color indexed="8"/>
      <name val="Calibri"/>
      <family val="2"/>
      <charset val="1"/>
    </font>
    <font>
      <b/>
      <sz val="8"/>
      <color indexed="81"/>
      <name val="Tahoma"/>
      <family val="2"/>
    </font>
    <font>
      <sz val="8"/>
      <color indexed="81"/>
      <name val="Tahoma"/>
      <family val="2"/>
    </font>
    <font>
      <sz val="12"/>
      <name val="Calibri"/>
      <family val="2"/>
    </font>
    <font>
      <sz val="12"/>
      <color rgb="FFFF0000"/>
      <name val="Calibri"/>
      <family val="2"/>
    </font>
    <font>
      <b/>
      <sz val="12"/>
      <color theme="1"/>
      <name val="Calibri"/>
      <family val="2"/>
    </font>
    <font>
      <b/>
      <sz val="12"/>
      <color rgb="FFFF0000"/>
      <name val="Calibri"/>
      <family val="2"/>
    </font>
    <font>
      <b/>
      <sz val="12"/>
      <color rgb="FF0070C0"/>
      <name val="Calibri"/>
      <family val="2"/>
    </font>
    <font>
      <b/>
      <sz val="12"/>
      <color rgb="FF00B050"/>
      <name val="Calibri"/>
      <family val="2"/>
    </font>
    <font>
      <sz val="12"/>
      <color theme="1"/>
      <name val="Calibri"/>
      <family val="2"/>
    </font>
    <font>
      <b/>
      <sz val="12"/>
      <name val="Calibri"/>
      <family val="2"/>
    </font>
    <font>
      <i/>
      <sz val="12"/>
      <name val="Calibri"/>
      <family val="2"/>
    </font>
    <font>
      <i/>
      <sz val="12"/>
      <color theme="1"/>
      <name val="Calibri"/>
      <family val="2"/>
    </font>
    <font>
      <vertAlign val="subscript"/>
      <sz val="12"/>
      <color indexed="8"/>
      <name val="Calibri"/>
      <family val="2"/>
    </font>
    <font>
      <sz val="12"/>
      <color indexed="8"/>
      <name val="Calibri"/>
      <family val="2"/>
    </font>
    <font>
      <vertAlign val="subscript"/>
      <sz val="12"/>
      <name val="Calibri"/>
      <family val="2"/>
    </font>
    <font>
      <vertAlign val="subscript"/>
      <sz val="12"/>
      <color theme="1"/>
      <name val="Calibri"/>
      <family val="2"/>
    </font>
    <font>
      <sz val="12"/>
      <color rgb="FF0070C0"/>
      <name val="Calibri"/>
      <family val="2"/>
    </font>
    <font>
      <b/>
      <i/>
      <sz val="12"/>
      <name val="Calibri"/>
      <family val="2"/>
    </font>
    <font>
      <sz val="9"/>
      <color indexed="81"/>
      <name val="Tahoma"/>
      <charset val="1"/>
    </font>
    <font>
      <b/>
      <sz val="9"/>
      <color indexed="81"/>
      <name val="Tahoma"/>
      <charset val="1"/>
    </font>
    <font>
      <b/>
      <sz val="11"/>
      <color theme="1"/>
      <name val="Calibri"/>
      <family val="2"/>
    </font>
    <font>
      <sz val="9"/>
      <color theme="1"/>
      <name val="Calibri"/>
      <family val="2"/>
    </font>
    <font>
      <sz val="14"/>
      <color theme="1"/>
      <name val="Calibri"/>
      <family val="2"/>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DCA644"/>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right style="thin">
        <color indexed="64"/>
      </right>
      <top/>
      <bottom/>
      <diagonal/>
    </border>
    <border>
      <left/>
      <right/>
      <top/>
      <bottom style="thin">
        <color indexed="64"/>
      </bottom>
      <diagonal/>
    </border>
    <border>
      <left style="thin">
        <color indexed="8"/>
      </left>
      <right style="thin">
        <color indexed="8"/>
      </right>
      <top/>
      <bottom style="thin">
        <color indexed="8"/>
      </bottom>
      <diagonal/>
    </border>
  </borders>
  <cellStyleXfs count="2">
    <xf numFmtId="0" fontId="0" fillId="0" borderId="0"/>
    <xf numFmtId="0" fontId="2" fillId="0" borderId="0"/>
  </cellStyleXfs>
  <cellXfs count="196">
    <xf numFmtId="0" fontId="0" fillId="0" borderId="0" xfId="0"/>
    <xf numFmtId="0" fontId="5" fillId="2" borderId="0" xfId="0" applyFont="1" applyFill="1" applyAlignment="1">
      <alignment horizontal="center" vertical="center"/>
    </xf>
    <xf numFmtId="0" fontId="5" fillId="2" borderId="0" xfId="0" applyFont="1" applyFill="1" applyAlignment="1">
      <alignment horizontal="left" vertical="center"/>
    </xf>
    <xf numFmtId="0" fontId="5" fillId="2" borderId="0" xfId="0" applyFont="1" applyFill="1" applyAlignment="1">
      <alignment horizontal="center" vertical="center" wrapText="1"/>
    </xf>
    <xf numFmtId="0" fontId="6" fillId="2" borderId="0" xfId="0" applyFont="1" applyFill="1" applyAlignment="1">
      <alignment horizontal="center" vertical="center"/>
    </xf>
    <xf numFmtId="0" fontId="7" fillId="2" borderId="4" xfId="0" applyFont="1" applyFill="1" applyBorder="1" applyAlignment="1">
      <alignment horizontal="center" vertical="center"/>
    </xf>
    <xf numFmtId="0" fontId="7" fillId="2" borderId="9" xfId="0" applyFont="1" applyFill="1" applyBorder="1" applyAlignment="1">
      <alignment horizontal="center" vertical="center"/>
    </xf>
    <xf numFmtId="0" fontId="5" fillId="2" borderId="0" xfId="0" applyFont="1" applyFill="1" applyAlignment="1">
      <alignment vertical="center"/>
    </xf>
    <xf numFmtId="0" fontId="11" fillId="2" borderId="0" xfId="0" applyFont="1" applyFill="1" applyAlignment="1">
      <alignment vertical="center"/>
    </xf>
    <xf numFmtId="0" fontId="8" fillId="2" borderId="1" xfId="0" applyFont="1" applyFill="1" applyBorder="1" applyAlignment="1">
      <alignment horizontal="center" vertical="center"/>
    </xf>
    <xf numFmtId="0" fontId="9" fillId="2" borderId="1" xfId="0" applyFont="1" applyFill="1" applyBorder="1" applyAlignment="1">
      <alignment horizontal="center" vertical="center"/>
    </xf>
    <xf numFmtId="0" fontId="11" fillId="2" borderId="0" xfId="0" applyFont="1" applyFill="1" applyAlignment="1">
      <alignment horizontal="center" vertical="center"/>
    </xf>
    <xf numFmtId="0" fontId="7" fillId="2" borderId="1" xfId="0" applyFont="1" applyFill="1" applyBorder="1" applyAlignment="1">
      <alignment horizontal="center" vertical="center"/>
    </xf>
    <xf numFmtId="0" fontId="12" fillId="2" borderId="1" xfId="0" applyFont="1" applyFill="1" applyBorder="1" applyAlignment="1">
      <alignment horizontal="center" vertical="center"/>
    </xf>
    <xf numFmtId="0" fontId="6" fillId="2" borderId="0" xfId="0" applyFont="1" applyFill="1" applyAlignment="1">
      <alignment horizontal="left" vertical="center"/>
    </xf>
    <xf numFmtId="0" fontId="12" fillId="3" borderId="4" xfId="0" applyFont="1" applyFill="1" applyBorder="1" applyAlignment="1">
      <alignment horizontal="left" vertical="center"/>
    </xf>
    <xf numFmtId="0" fontId="5" fillId="3" borderId="4" xfId="0" applyFont="1" applyFill="1" applyBorder="1" applyAlignment="1">
      <alignment horizontal="left" vertical="center"/>
    </xf>
    <xf numFmtId="0" fontId="11" fillId="3" borderId="4" xfId="0" applyFont="1" applyFill="1" applyBorder="1" applyAlignment="1">
      <alignment horizontal="left" vertical="center" wrapText="1"/>
    </xf>
    <xf numFmtId="0" fontId="11" fillId="2" borderId="0" xfId="0" applyFont="1" applyFill="1" applyAlignment="1">
      <alignment horizontal="left" vertical="center"/>
    </xf>
    <xf numFmtId="0" fontId="13" fillId="2" borderId="1" xfId="0" applyFont="1" applyFill="1" applyBorder="1" applyAlignment="1">
      <alignment horizontal="center" vertical="center"/>
    </xf>
    <xf numFmtId="0" fontId="13" fillId="2" borderId="1" xfId="0" applyFont="1" applyFill="1" applyBorder="1" applyAlignment="1">
      <alignment horizontal="left" vertical="center"/>
    </xf>
    <xf numFmtId="0" fontId="14" fillId="2"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11" fillId="2" borderId="1" xfId="0" applyFont="1" applyFill="1" applyBorder="1" applyAlignment="1">
      <alignment vertical="center" wrapText="1"/>
    </xf>
    <xf numFmtId="0" fontId="5" fillId="2" borderId="1" xfId="0" applyFont="1" applyFill="1" applyBorder="1" applyAlignment="1">
      <alignment horizontal="center"/>
    </xf>
    <xf numFmtId="0" fontId="13" fillId="2" borderId="1" xfId="0" applyFont="1" applyFill="1" applyBorder="1" applyAlignment="1">
      <alignment horizontal="center" vertical="center" wrapText="1"/>
    </xf>
    <xf numFmtId="0" fontId="5" fillId="2" borderId="1" xfId="0" applyFont="1" applyFill="1" applyBorder="1" applyAlignment="1">
      <alignment horizontal="center" vertical="center"/>
    </xf>
    <xf numFmtId="0" fontId="5" fillId="2" borderId="1" xfId="0" applyFont="1" applyFill="1" applyBorder="1" applyAlignment="1">
      <alignment horizontal="center" wrapText="1"/>
    </xf>
    <xf numFmtId="0" fontId="11" fillId="3" borderId="0" xfId="0" applyFont="1" applyFill="1" applyAlignment="1">
      <alignment horizontal="left" vertical="center" wrapText="1"/>
    </xf>
    <xf numFmtId="0" fontId="11" fillId="3" borderId="1" xfId="0" applyFont="1" applyFill="1" applyBorder="1" applyAlignment="1">
      <alignment horizontal="left" vertical="center" wrapText="1"/>
    </xf>
    <xf numFmtId="0" fontId="6" fillId="4" borderId="0" xfId="0" applyFont="1" applyFill="1" applyAlignment="1">
      <alignment horizontal="center" vertical="center"/>
    </xf>
    <xf numFmtId="0" fontId="14" fillId="4" borderId="1"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11" fillId="4" borderId="4"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4" borderId="1" xfId="0" applyFont="1" applyFill="1" applyBorder="1" applyAlignment="1">
      <alignment horizontal="center"/>
    </xf>
    <xf numFmtId="0" fontId="11" fillId="4" borderId="0" xfId="0" applyFont="1" applyFill="1" applyAlignment="1">
      <alignment vertical="center"/>
    </xf>
    <xf numFmtId="0" fontId="11" fillId="4" borderId="1" xfId="0" applyFont="1" applyFill="1" applyBorder="1" applyAlignment="1">
      <alignment horizontal="left" vertical="center" wrapText="1"/>
    </xf>
    <xf numFmtId="0" fontId="5" fillId="4" borderId="1" xfId="0" applyFont="1" applyFill="1" applyBorder="1" applyAlignment="1">
      <alignment horizontal="center" wrapText="1"/>
    </xf>
    <xf numFmtId="0" fontId="6" fillId="5" borderId="0" xfId="0" applyFont="1" applyFill="1" applyAlignment="1">
      <alignment horizontal="center" vertical="center"/>
    </xf>
    <xf numFmtId="0" fontId="13" fillId="5" borderId="3" xfId="0" applyFont="1" applyFill="1" applyBorder="1" applyAlignment="1">
      <alignment horizontal="center" vertical="center"/>
    </xf>
    <xf numFmtId="0" fontId="13" fillId="5" borderId="3" xfId="0" applyFont="1" applyFill="1" applyBorder="1" applyAlignment="1">
      <alignment horizontal="left" vertical="center"/>
    </xf>
    <xf numFmtId="0" fontId="14" fillId="5"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11" fillId="5" borderId="1" xfId="0" applyFont="1" applyFill="1" applyBorder="1" applyAlignment="1">
      <alignment horizontal="left" vertical="center" wrapText="1"/>
    </xf>
    <xf numFmtId="0" fontId="5" fillId="5" borderId="1" xfId="0" applyFont="1" applyFill="1" applyBorder="1" applyAlignment="1">
      <alignment horizontal="center" vertical="center" wrapText="1"/>
    </xf>
    <xf numFmtId="0" fontId="5" fillId="5" borderId="1" xfId="0" applyFont="1" applyFill="1" applyBorder="1" applyAlignment="1">
      <alignment horizontal="center" wrapText="1"/>
    </xf>
    <xf numFmtId="0" fontId="11" fillId="5" borderId="0" xfId="0" applyFont="1" applyFill="1" applyAlignment="1">
      <alignment vertical="center"/>
    </xf>
    <xf numFmtId="0" fontId="13" fillId="4" borderId="1" xfId="0" applyFont="1" applyFill="1" applyBorder="1" applyAlignment="1">
      <alignment horizontal="center" vertical="center"/>
    </xf>
    <xf numFmtId="0" fontId="13" fillId="4" borderId="1" xfId="0" applyFont="1" applyFill="1" applyBorder="1" applyAlignment="1">
      <alignment horizontal="left" vertical="center"/>
    </xf>
    <xf numFmtId="0" fontId="5" fillId="2" borderId="1" xfId="0" applyFont="1" applyFill="1" applyBorder="1" applyAlignment="1">
      <alignment horizontal="center" vertical="top" wrapText="1"/>
    </xf>
    <xf numFmtId="0" fontId="11" fillId="2" borderId="1" xfId="0" applyFont="1" applyFill="1" applyBorder="1" applyAlignment="1">
      <alignment horizontal="left" vertical="center" wrapText="1"/>
    </xf>
    <xf numFmtId="0" fontId="16" fillId="2" borderId="12" xfId="1" applyFont="1" applyFill="1" applyBorder="1" applyAlignment="1">
      <alignment horizontal="center" vertical="center" wrapText="1"/>
    </xf>
    <xf numFmtId="0" fontId="11" fillId="2" borderId="0" xfId="0" applyFont="1" applyFill="1" applyAlignment="1">
      <alignment vertical="center" wrapText="1"/>
    </xf>
    <xf numFmtId="0" fontId="11" fillId="2" borderId="0" xfId="0" applyFont="1" applyFill="1" applyAlignment="1">
      <alignment horizontal="center" vertical="center" wrapText="1"/>
    </xf>
    <xf numFmtId="0" fontId="12" fillId="3" borderId="0" xfId="0" applyFont="1" applyFill="1" applyAlignment="1">
      <alignment horizontal="left" vertical="center"/>
    </xf>
    <xf numFmtId="0" fontId="5" fillId="3" borderId="0" xfId="0" applyFont="1" applyFill="1" applyAlignment="1">
      <alignment horizontal="left" vertical="center"/>
    </xf>
    <xf numFmtId="0" fontId="11" fillId="3" borderId="0" xfId="0" applyFont="1" applyFill="1" applyAlignment="1">
      <alignment horizontal="center" vertical="center" wrapText="1"/>
    </xf>
    <xf numFmtId="0" fontId="11" fillId="3" borderId="1" xfId="0" applyFont="1" applyFill="1" applyBorder="1" applyAlignment="1">
      <alignment horizontal="center" vertical="center" wrapText="1"/>
    </xf>
    <xf numFmtId="0" fontId="5" fillId="3" borderId="0" xfId="0" applyFont="1" applyFill="1" applyAlignment="1">
      <alignment horizontal="center" vertical="center" wrapText="1"/>
    </xf>
    <xf numFmtId="0" fontId="11" fillId="3" borderId="13" xfId="0" applyFont="1" applyFill="1" applyBorder="1" applyAlignment="1">
      <alignment horizontal="center" vertical="center" wrapText="1"/>
    </xf>
    <xf numFmtId="1" fontId="11" fillId="2" borderId="1" xfId="0" applyNumberFormat="1" applyFont="1" applyFill="1" applyBorder="1" applyAlignment="1">
      <alignment horizontal="center" vertical="center" wrapText="1"/>
    </xf>
    <xf numFmtId="1" fontId="5" fillId="2" borderId="1" xfId="0" applyNumberFormat="1" applyFont="1" applyFill="1" applyBorder="1" applyAlignment="1">
      <alignment horizontal="center" vertical="center" wrapText="1"/>
    </xf>
    <xf numFmtId="0" fontId="5" fillId="2" borderId="0" xfId="0" applyFont="1" applyFill="1"/>
    <xf numFmtId="0" fontId="11" fillId="2" borderId="1" xfId="0" quotePrefix="1" applyFont="1" applyFill="1" applyBorder="1" applyAlignment="1">
      <alignment horizontal="center" vertical="center" wrapText="1"/>
    </xf>
    <xf numFmtId="0" fontId="11" fillId="2" borderId="1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11" fillId="3" borderId="1" xfId="0" quotePrefix="1" applyFont="1" applyFill="1" applyBorder="1" applyAlignment="1">
      <alignment horizontal="center" vertical="center" wrapText="1"/>
    </xf>
    <xf numFmtId="0" fontId="5" fillId="3" borderId="0" xfId="0" applyFont="1" applyFill="1" applyAlignment="1">
      <alignment horizontal="left" vertical="center" wrapText="1"/>
    </xf>
    <xf numFmtId="0" fontId="11" fillId="3" borderId="13" xfId="0" applyFont="1" applyFill="1" applyBorder="1" applyAlignment="1">
      <alignment horizontal="left" vertical="center" wrapText="1"/>
    </xf>
    <xf numFmtId="0" fontId="5" fillId="2" borderId="0" xfId="0" applyFont="1" applyFill="1" applyAlignment="1">
      <alignment horizontal="left"/>
    </xf>
    <xf numFmtId="10" fontId="11" fillId="2" borderId="1" xfId="0" applyNumberFormat="1" applyFont="1" applyFill="1" applyBorder="1" applyAlignment="1">
      <alignment horizontal="center" vertical="center" wrapText="1"/>
    </xf>
    <xf numFmtId="0" fontId="11" fillId="2" borderId="3" xfId="0" applyFont="1" applyFill="1" applyBorder="1" applyAlignment="1">
      <alignment horizontal="center" vertical="center" wrapText="1"/>
    </xf>
    <xf numFmtId="0" fontId="20" fillId="2" borderId="1" xfId="0" applyFont="1" applyFill="1" applyBorder="1" applyAlignment="1">
      <alignment horizontal="left" vertical="center"/>
    </xf>
    <xf numFmtId="0" fontId="20" fillId="2"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5" fillId="2" borderId="1" xfId="0" applyFont="1" applyFill="1" applyBorder="1" applyAlignment="1">
      <alignment vertical="center" wrapText="1"/>
    </xf>
    <xf numFmtId="0" fontId="7" fillId="3" borderId="4" xfId="0" applyFont="1" applyFill="1" applyBorder="1" applyAlignment="1">
      <alignment horizontal="left" vertical="center"/>
    </xf>
    <xf numFmtId="0" fontId="7" fillId="3" borderId="4" xfId="0" applyFont="1" applyFill="1" applyBorder="1" applyAlignment="1">
      <alignment horizontal="center" vertical="center"/>
    </xf>
    <xf numFmtId="0" fontId="7" fillId="3" borderId="9" xfId="0" applyFont="1" applyFill="1" applyBorder="1" applyAlignment="1">
      <alignment horizontal="left" vertical="center"/>
    </xf>
    <xf numFmtId="0" fontId="11" fillId="2" borderId="9" xfId="0" applyFont="1" applyFill="1" applyBorder="1" applyAlignment="1">
      <alignment vertical="center" wrapText="1"/>
    </xf>
    <xf numFmtId="0" fontId="11" fillId="2" borderId="9" xfId="0" applyFont="1" applyFill="1" applyBorder="1" applyAlignment="1">
      <alignment horizontal="center" vertical="center" wrapText="1"/>
    </xf>
    <xf numFmtId="0" fontId="16" fillId="2" borderId="15" xfId="1" applyFont="1" applyFill="1" applyBorder="1" applyAlignment="1">
      <alignment horizontal="center" vertical="center" wrapText="1"/>
    </xf>
    <xf numFmtId="0" fontId="11" fillId="2" borderId="9" xfId="0" applyFont="1" applyFill="1" applyBorder="1" applyAlignment="1">
      <alignment horizontal="left" vertical="center" wrapText="1"/>
    </xf>
    <xf numFmtId="0" fontId="11" fillId="2" borderId="13" xfId="0" applyFont="1" applyFill="1" applyBorder="1" applyAlignment="1">
      <alignment vertical="center" wrapText="1"/>
    </xf>
    <xf numFmtId="0" fontId="11" fillId="2" borderId="0" xfId="0" applyFont="1" applyFill="1" applyAlignment="1">
      <alignment horizontal="left" vertical="center" wrapText="1"/>
    </xf>
    <xf numFmtId="0" fontId="6" fillId="2" borderId="0" xfId="0" applyFont="1" applyFill="1" applyAlignment="1">
      <alignment horizontal="center"/>
    </xf>
    <xf numFmtId="0" fontId="11" fillId="2" borderId="0" xfId="0" applyFont="1" applyFill="1" applyAlignment="1">
      <alignment wrapText="1"/>
    </xf>
    <xf numFmtId="0" fontId="11" fillId="2" borderId="13" xfId="0" applyFont="1" applyFill="1" applyBorder="1" applyAlignment="1">
      <alignment wrapText="1"/>
    </xf>
    <xf numFmtId="0" fontId="11" fillId="2" borderId="0" xfId="0" applyFont="1" applyFill="1"/>
    <xf numFmtId="0" fontId="6" fillId="2" borderId="0" xfId="0" applyFont="1" applyFill="1" applyAlignment="1">
      <alignment horizontal="center" vertical="top"/>
    </xf>
    <xf numFmtId="0" fontId="5" fillId="2" borderId="1" xfId="0" applyFont="1" applyFill="1" applyBorder="1" applyAlignment="1">
      <alignment horizontal="center" vertical="top"/>
    </xf>
    <xf numFmtId="0" fontId="5" fillId="2" borderId="1" xfId="0" applyFont="1" applyFill="1" applyBorder="1" applyAlignment="1">
      <alignment horizontal="left" vertical="top"/>
    </xf>
    <xf numFmtId="0" fontId="11" fillId="2" borderId="1" xfId="0" applyFont="1" applyFill="1" applyBorder="1" applyAlignment="1">
      <alignment horizontal="center" vertical="top" wrapText="1"/>
    </xf>
    <xf numFmtId="0" fontId="11" fillId="2" borderId="1" xfId="0" applyFont="1" applyFill="1" applyBorder="1" applyAlignment="1">
      <alignment horizontal="left" vertical="top" wrapText="1"/>
    </xf>
    <xf numFmtId="0" fontId="11" fillId="2" borderId="1" xfId="0" applyFont="1" applyFill="1" applyBorder="1" applyAlignment="1">
      <alignment vertical="top" wrapText="1"/>
    </xf>
    <xf numFmtId="0" fontId="5" fillId="2" borderId="1" xfId="0" applyFont="1" applyFill="1" applyBorder="1" applyAlignment="1">
      <alignment vertical="top" wrapText="1"/>
    </xf>
    <xf numFmtId="0" fontId="5" fillId="2" borderId="0" xfId="0" applyFont="1" applyFill="1" applyAlignment="1">
      <alignment vertical="top"/>
    </xf>
    <xf numFmtId="0" fontId="11" fillId="2" borderId="0" xfId="0" applyFont="1" applyFill="1" applyAlignment="1">
      <alignment vertical="top"/>
    </xf>
    <xf numFmtId="0" fontId="11" fillId="2" borderId="0" xfId="0" applyFont="1" applyFill="1" applyAlignment="1">
      <alignment horizontal="center" vertical="top" wrapText="1"/>
    </xf>
    <xf numFmtId="0" fontId="11" fillId="2" borderId="0" xfId="0" applyFont="1" applyFill="1" applyAlignment="1">
      <alignment vertical="top" wrapText="1"/>
    </xf>
    <xf numFmtId="0" fontId="5" fillId="2" borderId="0" xfId="0" applyFont="1" applyFill="1" applyAlignment="1">
      <alignment horizontal="center"/>
    </xf>
    <xf numFmtId="0" fontId="11" fillId="2" borderId="0" xfId="0" applyFont="1" applyFill="1" applyAlignment="1">
      <alignment horizontal="center" wrapText="1"/>
    </xf>
    <xf numFmtId="0" fontId="11" fillId="2" borderId="0" xfId="0" applyFont="1" applyFill="1" applyAlignment="1">
      <alignment horizontal="center"/>
    </xf>
    <xf numFmtId="0" fontId="13" fillId="2" borderId="2" xfId="0" applyFont="1" applyFill="1" applyBorder="1" applyAlignment="1">
      <alignment horizontal="left" vertical="center"/>
    </xf>
    <xf numFmtId="0" fontId="13" fillId="2" borderId="2" xfId="0" applyFont="1" applyFill="1" applyBorder="1" applyAlignment="1">
      <alignment horizontal="center" vertical="center"/>
    </xf>
    <xf numFmtId="0" fontId="12" fillId="3" borderId="11" xfId="0" applyFont="1" applyFill="1" applyBorder="1" applyAlignment="1">
      <alignment horizontal="left" vertical="center"/>
    </xf>
    <xf numFmtId="0" fontId="11" fillId="3" borderId="4" xfId="0" applyFont="1" applyFill="1" applyBorder="1" applyAlignment="1">
      <alignment horizontal="left" vertical="center"/>
    </xf>
    <xf numFmtId="0" fontId="11" fillId="3" borderId="4" xfId="0" applyFont="1" applyFill="1" applyBorder="1" applyAlignment="1">
      <alignment horizontal="center" vertical="center"/>
    </xf>
    <xf numFmtId="0" fontId="11" fillId="3" borderId="1" xfId="0" applyFont="1" applyFill="1" applyBorder="1" applyAlignment="1">
      <alignment horizontal="left" vertical="center"/>
    </xf>
    <xf numFmtId="0" fontId="11" fillId="3" borderId="9" xfId="0" applyFont="1" applyFill="1" applyBorder="1" applyAlignment="1">
      <alignment horizontal="left" vertical="center"/>
    </xf>
    <xf numFmtId="0" fontId="5" fillId="3" borderId="1" xfId="0" applyFont="1" applyFill="1" applyBorder="1" applyAlignment="1">
      <alignment horizontal="left"/>
    </xf>
    <xf numFmtId="0" fontId="11" fillId="3" borderId="3" xfId="0" applyFont="1" applyFill="1" applyBorder="1" applyAlignment="1">
      <alignment horizontal="center" vertical="center" wrapText="1"/>
    </xf>
    <xf numFmtId="0" fontId="5" fillId="5" borderId="3" xfId="0" applyFont="1" applyFill="1" applyBorder="1" applyAlignment="1">
      <alignment horizontal="center" wrapText="1"/>
    </xf>
    <xf numFmtId="0" fontId="14" fillId="2" borderId="2"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11" fillId="3" borderId="14" xfId="0" applyFont="1" applyFill="1" applyBorder="1" applyAlignment="1">
      <alignment horizontal="left" vertical="center" wrapText="1"/>
    </xf>
    <xf numFmtId="0" fontId="11" fillId="3" borderId="3" xfId="0" applyFont="1" applyFill="1" applyBorder="1" applyAlignment="1">
      <alignment horizontal="left" vertical="center" wrapText="1"/>
    </xf>
    <xf numFmtId="0" fontId="5" fillId="2" borderId="1" xfId="0" applyFont="1" applyFill="1" applyBorder="1"/>
    <xf numFmtId="0" fontId="12" fillId="3" borderId="14" xfId="0" applyFont="1" applyFill="1" applyBorder="1" applyAlignment="1">
      <alignment horizontal="left" vertical="center"/>
    </xf>
    <xf numFmtId="0" fontId="5" fillId="3" borderId="14" xfId="0" applyFont="1" applyFill="1" applyBorder="1" applyAlignment="1">
      <alignment horizontal="left" vertical="center"/>
    </xf>
    <xf numFmtId="0" fontId="11" fillId="3" borderId="14" xfId="0" applyFont="1" applyFill="1" applyBorder="1" applyAlignment="1">
      <alignment vertical="center" wrapText="1"/>
    </xf>
    <xf numFmtId="0" fontId="5" fillId="3" borderId="14" xfId="0" applyFont="1" applyFill="1" applyBorder="1" applyAlignment="1">
      <alignment horizontal="left" vertical="center" wrapText="1"/>
    </xf>
    <xf numFmtId="0" fontId="5" fillId="3" borderId="3" xfId="0" applyFont="1" applyFill="1" applyBorder="1" applyAlignment="1">
      <alignment horizontal="center" vertical="center" wrapText="1"/>
    </xf>
    <xf numFmtId="0" fontId="11" fillId="3" borderId="8" xfId="0" applyFont="1" applyFill="1" applyBorder="1" applyAlignment="1">
      <alignment horizontal="left" vertical="center" wrapText="1"/>
    </xf>
    <xf numFmtId="0" fontId="11" fillId="2" borderId="1" xfId="0" applyFont="1" applyFill="1" applyBorder="1" applyAlignment="1">
      <alignment vertical="center"/>
    </xf>
    <xf numFmtId="10" fontId="5" fillId="2" borderId="1" xfId="0" applyNumberFormat="1" applyFont="1" applyFill="1" applyBorder="1" applyAlignment="1">
      <alignment horizontal="center" vertical="center"/>
    </xf>
    <xf numFmtId="0" fontId="13" fillId="3" borderId="4" xfId="0" applyFont="1" applyFill="1" applyBorder="1" applyAlignment="1">
      <alignment horizontal="left" vertical="center"/>
    </xf>
    <xf numFmtId="0" fontId="14" fillId="3" borderId="4" xfId="0" applyFont="1" applyFill="1" applyBorder="1" applyAlignment="1">
      <alignment horizontal="center" vertical="center" wrapText="1"/>
    </xf>
    <xf numFmtId="0" fontId="11" fillId="3" borderId="4"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4" xfId="0" applyFont="1" applyFill="1" applyBorder="1" applyAlignment="1">
      <alignment horizontal="center" wrapText="1"/>
    </xf>
    <xf numFmtId="0" fontId="11" fillId="3" borderId="2" xfId="0" applyFont="1" applyFill="1" applyBorder="1" applyAlignment="1">
      <alignment horizontal="left" vertical="center" wrapText="1"/>
    </xf>
    <xf numFmtId="0" fontId="5" fillId="2" borderId="1" xfId="0" applyFont="1" applyFill="1" applyBorder="1" applyAlignment="1">
      <alignment vertical="top"/>
    </xf>
    <xf numFmtId="0" fontId="0" fillId="0" borderId="1" xfId="0" applyBorder="1"/>
    <xf numFmtId="0" fontId="7" fillId="0" borderId="1" xfId="0" applyFont="1" applyBorder="1" applyAlignment="1">
      <alignment horizontal="center"/>
    </xf>
    <xf numFmtId="0" fontId="0" fillId="0" borderId="11" xfId="0" applyBorder="1"/>
    <xf numFmtId="0" fontId="0" fillId="0" borderId="4" xfId="0" applyBorder="1"/>
    <xf numFmtId="0" fontId="23" fillId="0" borderId="1" xfId="0" applyFont="1" applyBorder="1" applyAlignment="1">
      <alignment horizontal="center" vertical="center"/>
    </xf>
    <xf numFmtId="0" fontId="23" fillId="0" borderId="1" xfId="0" applyFont="1" applyBorder="1" applyAlignment="1">
      <alignment horizontal="center" vertical="center" wrapText="1"/>
    </xf>
    <xf numFmtId="0" fontId="23" fillId="0" borderId="1" xfId="0" applyFont="1" applyBorder="1" applyAlignment="1">
      <alignment vertical="center" textRotation="90" wrapText="1"/>
    </xf>
    <xf numFmtId="0" fontId="23" fillId="0" borderId="1" xfId="0" applyFont="1" applyBorder="1" applyAlignment="1">
      <alignment vertical="center" textRotation="90"/>
    </xf>
    <xf numFmtId="0" fontId="23" fillId="0" borderId="1" xfId="0" applyFont="1" applyBorder="1" applyAlignment="1">
      <alignment horizontal="center"/>
    </xf>
    <xf numFmtId="0" fontId="23" fillId="0" borderId="1" xfId="0" applyFont="1" applyBorder="1"/>
    <xf numFmtId="0" fontId="23" fillId="0" borderId="9" xfId="0" applyFont="1" applyBorder="1" applyAlignment="1">
      <alignment horizontal="center"/>
    </xf>
    <xf numFmtId="0" fontId="23" fillId="0" borderId="1" xfId="0" applyFont="1" applyBorder="1" applyAlignment="1">
      <alignment horizontal="center" vertical="center" textRotation="90"/>
    </xf>
    <xf numFmtId="0" fontId="0" fillId="0" borderId="0" xfId="0" applyAlignment="1">
      <alignment horizontal="center"/>
    </xf>
    <xf numFmtId="0" fontId="0" fillId="0" borderId="0" xfId="0" applyAlignment="1">
      <alignment wrapText="1"/>
    </xf>
    <xf numFmtId="0" fontId="25" fillId="0" borderId="1" xfId="0" applyFont="1" applyBorder="1" applyAlignment="1">
      <alignment horizontal="center" wrapText="1"/>
    </xf>
    <xf numFmtId="0" fontId="25" fillId="0" borderId="1" xfId="0" applyFont="1" applyBorder="1" applyAlignment="1">
      <alignment horizontal="center"/>
    </xf>
    <xf numFmtId="0" fontId="0" fillId="0" borderId="1" xfId="0" applyBorder="1" applyAlignment="1">
      <alignment horizontal="center"/>
    </xf>
    <xf numFmtId="0" fontId="24" fillId="0" borderId="1" xfId="0" applyFont="1" applyBorder="1" applyAlignment="1">
      <alignment horizontal="center"/>
    </xf>
    <xf numFmtId="0" fontId="0" fillId="0" borderId="4" xfId="0" applyBorder="1" applyAlignment="1">
      <alignment horizontal="center"/>
    </xf>
    <xf numFmtId="0" fontId="0" fillId="0" borderId="9" xfId="0" applyBorder="1" applyAlignment="1">
      <alignment horizontal="center"/>
    </xf>
    <xf numFmtId="0" fontId="23" fillId="0" borderId="1" xfId="0" applyFont="1" applyBorder="1" applyAlignment="1">
      <alignment horizontal="center" vertical="center" textRotation="90" wrapText="1"/>
    </xf>
    <xf numFmtId="0" fontId="23" fillId="0" borderId="1" xfId="0" applyFont="1" applyBorder="1" applyAlignment="1">
      <alignment horizontal="center"/>
    </xf>
    <xf numFmtId="0" fontId="23" fillId="0" borderId="11" xfId="0" applyFont="1" applyBorder="1" applyAlignment="1">
      <alignment horizontal="center"/>
    </xf>
    <xf numFmtId="0" fontId="23" fillId="0" borderId="4" xfId="0" applyFont="1" applyBorder="1" applyAlignment="1">
      <alignment horizontal="center"/>
    </xf>
    <xf numFmtId="0" fontId="23" fillId="0" borderId="9" xfId="0" applyFont="1" applyBorder="1" applyAlignment="1">
      <alignment horizontal="center"/>
    </xf>
    <xf numFmtId="0" fontId="23" fillId="0" borderId="1" xfId="0" applyFont="1" applyBorder="1" applyAlignment="1">
      <alignment horizontal="center" wrapText="1"/>
    </xf>
    <xf numFmtId="0" fontId="5" fillId="2" borderId="14" xfId="0" applyFont="1" applyFill="1" applyBorder="1" applyAlignment="1">
      <alignment horizontal="center" vertical="center"/>
    </xf>
    <xf numFmtId="0" fontId="5" fillId="2" borderId="0" xfId="0" applyFont="1" applyFill="1" applyAlignment="1">
      <alignment horizontal="center" vertical="center"/>
    </xf>
    <xf numFmtId="0" fontId="7" fillId="2" borderId="11"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9"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2" xfId="0" applyFont="1" applyFill="1" applyBorder="1" applyAlignment="1">
      <alignment horizontal="left" vertical="center"/>
    </xf>
    <xf numFmtId="0" fontId="13" fillId="4" borderId="3" xfId="0" applyFont="1" applyFill="1" applyBorder="1" applyAlignment="1">
      <alignment horizontal="left" vertical="center"/>
    </xf>
    <xf numFmtId="0" fontId="8" fillId="2" borderId="11" xfId="0" applyFont="1" applyFill="1" applyBorder="1" applyAlignment="1">
      <alignment horizontal="center" vertical="center"/>
    </xf>
    <xf numFmtId="0" fontId="8" fillId="2" borderId="4" xfId="0" applyFont="1" applyFill="1" applyBorder="1" applyAlignment="1">
      <alignment horizontal="center" vertical="center"/>
    </xf>
    <xf numFmtId="0" fontId="8" fillId="2" borderId="9" xfId="0" applyFont="1" applyFill="1" applyBorder="1" applyAlignment="1">
      <alignment horizontal="center" vertical="center"/>
    </xf>
    <xf numFmtId="0" fontId="8" fillId="2" borderId="5" xfId="0" applyFont="1" applyFill="1" applyBorder="1" applyAlignment="1">
      <alignment horizontal="center" vertical="center"/>
    </xf>
    <xf numFmtId="0" fontId="6" fillId="2" borderId="6" xfId="0" applyFont="1" applyFill="1" applyBorder="1" applyAlignment="1">
      <alignment horizontal="center" vertical="center"/>
    </xf>
    <xf numFmtId="0" fontId="9" fillId="2" borderId="1" xfId="0" applyFont="1" applyFill="1" applyBorder="1" applyAlignment="1">
      <alignment horizontal="center" vertical="center"/>
    </xf>
    <xf numFmtId="0" fontId="10" fillId="2" borderId="1" xfId="0" applyFont="1" applyFill="1" applyBorder="1" applyAlignment="1">
      <alignment horizontal="center" vertical="center"/>
    </xf>
    <xf numFmtId="0" fontId="9" fillId="2" borderId="11" xfId="0" applyFont="1" applyFill="1" applyBorder="1" applyAlignment="1">
      <alignment horizontal="center" vertical="center"/>
    </xf>
    <xf numFmtId="0" fontId="9" fillId="2" borderId="4" xfId="0" applyFont="1" applyFill="1" applyBorder="1" applyAlignment="1">
      <alignment horizontal="center" vertical="center"/>
    </xf>
    <xf numFmtId="0" fontId="9" fillId="2" borderId="9" xfId="0" applyFont="1" applyFill="1" applyBorder="1" applyAlignment="1">
      <alignment horizontal="center" vertical="center"/>
    </xf>
    <xf numFmtId="0" fontId="12" fillId="2" borderId="2" xfId="0" applyFont="1" applyFill="1" applyBorder="1" applyAlignment="1">
      <alignment horizontal="center" vertical="center" textRotation="90"/>
    </xf>
    <xf numFmtId="0" fontId="12" fillId="2" borderId="3" xfId="0" applyFont="1" applyFill="1" applyBorder="1" applyAlignment="1">
      <alignment horizontal="center" vertical="center" textRotation="90"/>
    </xf>
    <xf numFmtId="0" fontId="7" fillId="2" borderId="5" xfId="0" applyFont="1" applyFill="1" applyBorder="1" applyAlignment="1">
      <alignment horizontal="center" vertical="center"/>
    </xf>
    <xf numFmtId="0" fontId="7" fillId="2" borderId="6" xfId="0" applyFont="1" applyFill="1" applyBorder="1" applyAlignment="1">
      <alignment horizontal="center" vertical="center"/>
    </xf>
    <xf numFmtId="0" fontId="7" fillId="2" borderId="7" xfId="0" applyFont="1" applyFill="1" applyBorder="1" applyAlignment="1">
      <alignment horizontal="center" vertical="center"/>
    </xf>
    <xf numFmtId="0" fontId="7" fillId="2" borderId="8" xfId="0" applyFont="1" applyFill="1" applyBorder="1" applyAlignment="1">
      <alignment horizontal="center" vertical="center"/>
    </xf>
    <xf numFmtId="0" fontId="13" fillId="2" borderId="2" xfId="0" applyFont="1" applyFill="1" applyBorder="1" applyAlignment="1">
      <alignment horizontal="left" vertical="center"/>
    </xf>
    <xf numFmtId="0" fontId="13" fillId="2" borderId="3" xfId="0" applyFont="1" applyFill="1" applyBorder="1" applyAlignment="1">
      <alignment horizontal="left" vertical="center"/>
    </xf>
    <xf numFmtId="0" fontId="13" fillId="2" borderId="2" xfId="0" applyFont="1" applyFill="1" applyBorder="1" applyAlignment="1">
      <alignment horizontal="center" vertical="center"/>
    </xf>
    <xf numFmtId="0" fontId="13" fillId="2" borderId="3" xfId="0" applyFont="1" applyFill="1" applyBorder="1" applyAlignment="1">
      <alignment horizontal="center" vertical="center"/>
    </xf>
    <xf numFmtId="0" fontId="13" fillId="2" borderId="10" xfId="0" applyFont="1" applyFill="1" applyBorder="1" applyAlignment="1">
      <alignment horizontal="center" vertical="center"/>
    </xf>
    <xf numFmtId="0" fontId="5" fillId="2" borderId="1" xfId="0" applyFont="1" applyFill="1" applyBorder="1" applyAlignment="1">
      <alignment horizontal="left" vertical="center" wrapText="1"/>
    </xf>
    <xf numFmtId="0" fontId="13" fillId="2" borderId="1" xfId="0" applyFont="1" applyFill="1" applyBorder="1" applyAlignment="1">
      <alignment horizontal="center" vertical="center"/>
    </xf>
    <xf numFmtId="0" fontId="13" fillId="2" borderId="1" xfId="0" applyFont="1" applyFill="1" applyBorder="1" applyAlignment="1">
      <alignment horizontal="left" vertical="center"/>
    </xf>
    <xf numFmtId="0" fontId="13" fillId="2" borderId="1" xfId="0" applyFont="1" applyFill="1" applyBorder="1" applyAlignment="1">
      <alignment horizontal="left" vertical="center" wrapText="1"/>
    </xf>
  </cellXfs>
  <cellStyles count="2">
    <cellStyle name="Excel Built-in Normal" xfId="1" xr:uid="{00000000-0005-0000-0000-000000000000}"/>
    <cellStyle name="Normal" xfId="0" builtinId="0"/>
  </cellStyles>
  <dxfs count="0"/>
  <tableStyles count="0" defaultTableStyle="TableStyleMedium2" defaultPivotStyle="PivotStyleLight16"/>
  <colors>
    <mruColors>
      <color rgb="FFDCA64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9"/>
  <sheetViews>
    <sheetView showGridLines="0" tabSelected="1" zoomScale="85" zoomScaleNormal="85" zoomScaleSheetLayoutView="40" workbookViewId="0">
      <pane xSplit="3" ySplit="7" topLeftCell="D13" activePane="bottomRight" state="frozen"/>
      <selection pane="topRight" activeCell="D1" sqref="D1"/>
      <selection pane="bottomLeft" activeCell="A6" sqref="A6"/>
      <selection pane="bottomRight" activeCell="A24" sqref="A24"/>
    </sheetView>
  </sheetViews>
  <sheetFormatPr defaultColWidth="9.125" defaultRowHeight="16.3" x14ac:dyDescent="0.3"/>
  <cols>
    <col min="1" max="1" width="3.375" style="87" bestFit="1" customWidth="1"/>
    <col min="2" max="2" width="6.75" style="102" customWidth="1"/>
    <col min="3" max="3" width="34.125" style="71" customWidth="1"/>
    <col min="4" max="4" width="19" style="55" bestFit="1" customWidth="1"/>
    <col min="5" max="5" width="30.75" style="11" bestFit="1" customWidth="1"/>
    <col min="6" max="6" width="33.125" style="11" bestFit="1" customWidth="1"/>
    <col min="7" max="8" width="46.75" style="11" customWidth="1"/>
    <col min="9" max="9" width="46.75" style="90" customWidth="1"/>
    <col min="10" max="10" width="38.125" style="90" bestFit="1" customWidth="1"/>
    <col min="11" max="11" width="37.75" style="90" bestFit="1" customWidth="1"/>
    <col min="12" max="12" width="36.875" style="90" bestFit="1" customWidth="1"/>
    <col min="13" max="13" width="46.75" style="90" customWidth="1"/>
    <col min="14" max="14" width="51.375" style="90" bestFit="1" customWidth="1"/>
    <col min="15" max="15" width="42" style="90" customWidth="1"/>
    <col min="16" max="16" width="36.125" style="90" customWidth="1"/>
    <col min="17" max="17" width="33.125" style="90" customWidth="1"/>
    <col min="18" max="19" width="32.75" style="90" customWidth="1"/>
    <col min="20" max="20" width="44.375" style="90" customWidth="1"/>
    <col min="21" max="21" width="49.125" style="11" customWidth="1"/>
    <col min="22" max="22" width="40.25" style="104" customWidth="1"/>
    <col min="23" max="23" width="32.125" style="90" customWidth="1"/>
    <col min="24" max="24" width="32.375" style="90" customWidth="1"/>
    <col min="25" max="25" width="31.375" style="90" customWidth="1"/>
    <col min="26" max="26" width="32.125" style="90" customWidth="1"/>
    <col min="27" max="27" width="32.625" style="64" customWidth="1"/>
    <col min="28" max="28" width="32.375" style="64" customWidth="1"/>
    <col min="29" max="29" width="23.375" style="64" bestFit="1" customWidth="1"/>
    <col min="30" max="16384" width="9.125" style="90"/>
  </cols>
  <sheetData>
    <row r="1" spans="1:29" s="1" customFormat="1" x14ac:dyDescent="0.25">
      <c r="C1" s="2" t="s">
        <v>0</v>
      </c>
      <c r="D1" s="3">
        <f>AA1</f>
        <v>15</v>
      </c>
      <c r="E1" s="163">
        <v>1</v>
      </c>
      <c r="F1" s="163"/>
      <c r="G1" s="163">
        <f>E1+1</f>
        <v>2</v>
      </c>
      <c r="H1" s="163"/>
      <c r="I1" s="1">
        <f>G1+1</f>
        <v>3</v>
      </c>
      <c r="J1" s="1">
        <f>I1+1</f>
        <v>4</v>
      </c>
      <c r="K1" s="163">
        <f>J1+1</f>
        <v>5</v>
      </c>
      <c r="L1" s="163"/>
      <c r="M1" s="162">
        <f>K1+1</f>
        <v>6</v>
      </c>
      <c r="N1" s="162"/>
      <c r="O1" s="1">
        <f>M1+1</f>
        <v>7</v>
      </c>
      <c r="P1" s="162">
        <f>O1+1</f>
        <v>8</v>
      </c>
      <c r="Q1" s="162"/>
      <c r="R1" s="162">
        <f>P1+1</f>
        <v>9</v>
      </c>
      <c r="S1" s="162"/>
      <c r="T1" s="162"/>
      <c r="U1" s="1">
        <f>R1+1</f>
        <v>10</v>
      </c>
      <c r="V1" s="1">
        <f>U1+1</f>
        <v>11</v>
      </c>
      <c r="W1" s="1">
        <f>V1+1</f>
        <v>12</v>
      </c>
      <c r="X1" s="1">
        <f>W1+1</f>
        <v>13</v>
      </c>
      <c r="Y1" s="162">
        <f>X1+1</f>
        <v>14</v>
      </c>
      <c r="Z1" s="162"/>
      <c r="AA1" s="163">
        <f>Y1+1</f>
        <v>15</v>
      </c>
      <c r="AB1" s="163"/>
      <c r="AC1" s="163"/>
    </row>
    <row r="2" spans="1:29" s="8" customFormat="1" x14ac:dyDescent="0.25">
      <c r="A2" s="4"/>
      <c r="B2" s="164" t="s">
        <v>1</v>
      </c>
      <c r="C2" s="165"/>
      <c r="D2" s="166"/>
      <c r="E2" s="171" t="s">
        <v>2</v>
      </c>
      <c r="F2" s="172"/>
      <c r="G2" s="172"/>
      <c r="H2" s="172"/>
      <c r="I2" s="172"/>
      <c r="J2" s="172"/>
      <c r="K2" s="172"/>
      <c r="L2" s="173"/>
      <c r="M2" s="178" t="s">
        <v>3</v>
      </c>
      <c r="N2" s="179"/>
      <c r="O2" s="179"/>
      <c r="P2" s="179"/>
      <c r="Q2" s="179"/>
      <c r="R2" s="179"/>
      <c r="S2" s="179"/>
      <c r="T2" s="179"/>
      <c r="U2" s="179"/>
      <c r="V2" s="179"/>
      <c r="W2" s="179"/>
      <c r="X2" s="180"/>
      <c r="Y2" s="177" t="s">
        <v>4</v>
      </c>
      <c r="Z2" s="177"/>
      <c r="AA2" s="7"/>
      <c r="AB2" s="7"/>
      <c r="AC2" s="7"/>
    </row>
    <row r="3" spans="1:29" s="11" customFormat="1" x14ac:dyDescent="0.25">
      <c r="A3" s="4"/>
      <c r="B3" s="181" t="s">
        <v>5</v>
      </c>
      <c r="C3" s="183" t="s">
        <v>6</v>
      </c>
      <c r="D3" s="184"/>
      <c r="E3" s="174" t="s">
        <v>7</v>
      </c>
      <c r="F3" s="175"/>
      <c r="G3" s="171" t="s">
        <v>8</v>
      </c>
      <c r="H3" s="173"/>
      <c r="I3" s="9" t="s">
        <v>9</v>
      </c>
      <c r="J3" s="9" t="s">
        <v>10</v>
      </c>
      <c r="K3" s="171" t="s">
        <v>11</v>
      </c>
      <c r="L3" s="173"/>
      <c r="M3" s="176" t="s">
        <v>12</v>
      </c>
      <c r="N3" s="176"/>
      <c r="O3" s="10" t="s">
        <v>13</v>
      </c>
      <c r="P3" s="178" t="s">
        <v>14</v>
      </c>
      <c r="Q3" s="180"/>
      <c r="R3" s="178" t="s">
        <v>15</v>
      </c>
      <c r="S3" s="179"/>
      <c r="T3" s="180"/>
      <c r="U3" s="10" t="s">
        <v>16</v>
      </c>
      <c r="V3" s="10" t="s">
        <v>17</v>
      </c>
      <c r="W3" s="10" t="s">
        <v>18</v>
      </c>
      <c r="X3" s="10" t="s">
        <v>19</v>
      </c>
      <c r="Y3" s="177" t="s">
        <v>20</v>
      </c>
      <c r="Z3" s="177"/>
      <c r="AA3" s="176" t="s">
        <v>21</v>
      </c>
      <c r="AB3" s="176"/>
      <c r="AC3" s="176"/>
    </row>
    <row r="4" spans="1:29" s="11" customFormat="1" x14ac:dyDescent="0.25">
      <c r="A4" s="4"/>
      <c r="B4" s="182"/>
      <c r="C4" s="185"/>
      <c r="D4" s="186"/>
      <c r="E4" s="12" t="s">
        <v>22</v>
      </c>
      <c r="F4" s="6" t="s">
        <v>23</v>
      </c>
      <c r="G4" s="12" t="s">
        <v>24</v>
      </c>
      <c r="H4" s="12" t="s">
        <v>25</v>
      </c>
      <c r="I4" s="12" t="s">
        <v>26</v>
      </c>
      <c r="J4" s="12" t="s">
        <v>26</v>
      </c>
      <c r="K4" s="12" t="s">
        <v>27</v>
      </c>
      <c r="L4" s="12" t="s">
        <v>28</v>
      </c>
      <c r="M4" s="12" t="s">
        <v>24</v>
      </c>
      <c r="N4" s="12" t="s">
        <v>25</v>
      </c>
      <c r="O4" s="12" t="s">
        <v>25</v>
      </c>
      <c r="P4" s="12" t="s">
        <v>24</v>
      </c>
      <c r="Q4" s="12" t="s">
        <v>25</v>
      </c>
      <c r="R4" s="12" t="s">
        <v>24</v>
      </c>
      <c r="S4" s="12" t="s">
        <v>25</v>
      </c>
      <c r="T4" s="12" t="s">
        <v>29</v>
      </c>
      <c r="U4" s="12" t="s">
        <v>30</v>
      </c>
      <c r="V4" s="5"/>
      <c r="W4" s="12" t="s">
        <v>26</v>
      </c>
      <c r="X4" s="12" t="s">
        <v>25</v>
      </c>
      <c r="Y4" s="12" t="s">
        <v>24</v>
      </c>
      <c r="Z4" s="12" t="s">
        <v>25</v>
      </c>
      <c r="AA4" s="13" t="s">
        <v>31</v>
      </c>
      <c r="AB4" s="13" t="s">
        <v>32</v>
      </c>
      <c r="AC4" s="13" t="s">
        <v>33</v>
      </c>
    </row>
    <row r="5" spans="1:29" s="11" customFormat="1" x14ac:dyDescent="0.25">
      <c r="A5" s="4"/>
      <c r="B5" s="13">
        <v>1</v>
      </c>
      <c r="C5" s="12" t="s">
        <v>486</v>
      </c>
      <c r="D5" s="12" t="s">
        <v>487</v>
      </c>
      <c r="E5" s="12"/>
      <c r="F5" s="12"/>
      <c r="G5" s="12"/>
      <c r="H5" s="12"/>
      <c r="I5" s="12"/>
      <c r="J5" s="12"/>
      <c r="K5" s="12"/>
      <c r="L5" s="12"/>
      <c r="M5" s="12"/>
      <c r="N5" s="12"/>
      <c r="O5" s="12"/>
      <c r="P5" s="12"/>
      <c r="Q5" s="12"/>
      <c r="R5" s="12"/>
      <c r="S5" s="12"/>
      <c r="T5" s="12"/>
      <c r="U5" s="12"/>
      <c r="V5" s="12"/>
      <c r="W5" s="12"/>
      <c r="X5" s="12"/>
      <c r="Y5" s="12"/>
      <c r="Z5" s="12"/>
      <c r="AA5" s="13"/>
      <c r="AB5" s="13"/>
      <c r="AC5" s="13"/>
    </row>
    <row r="6" spans="1:29" s="11" customFormat="1" x14ac:dyDescent="0.25">
      <c r="A6" s="4"/>
      <c r="B6" s="13">
        <v>2</v>
      </c>
      <c r="C6" s="12" t="s">
        <v>499</v>
      </c>
      <c r="D6" s="12"/>
      <c r="E6" s="12"/>
      <c r="F6" s="12"/>
      <c r="G6" s="12"/>
      <c r="H6" s="12"/>
      <c r="I6" s="12"/>
      <c r="J6" s="12"/>
      <c r="K6" s="12"/>
      <c r="L6" s="12"/>
      <c r="M6" s="12"/>
      <c r="N6" s="12"/>
      <c r="O6" s="12"/>
      <c r="P6" s="12"/>
      <c r="Q6" s="12"/>
      <c r="R6" s="12"/>
      <c r="S6" s="12"/>
      <c r="T6" s="12"/>
      <c r="U6" s="12"/>
      <c r="V6" s="12"/>
      <c r="W6" s="12"/>
      <c r="X6" s="12"/>
      <c r="Y6" s="12"/>
      <c r="Z6" s="12"/>
      <c r="AA6" s="13"/>
      <c r="AB6" s="13"/>
      <c r="AC6" s="13"/>
    </row>
    <row r="7" spans="1:29" s="18" customFormat="1" x14ac:dyDescent="0.3">
      <c r="A7" s="14">
        <v>1</v>
      </c>
      <c r="B7" s="107" t="s">
        <v>34</v>
      </c>
      <c r="C7" s="16"/>
      <c r="D7" s="17"/>
      <c r="E7" s="108"/>
      <c r="F7" s="108"/>
      <c r="G7" s="108"/>
      <c r="H7" s="108"/>
      <c r="I7" s="108"/>
      <c r="J7" s="108"/>
      <c r="K7" s="108"/>
      <c r="L7" s="108"/>
      <c r="M7" s="108"/>
      <c r="N7" s="108"/>
      <c r="O7" s="108"/>
      <c r="P7" s="108"/>
      <c r="Q7" s="108"/>
      <c r="R7" s="108"/>
      <c r="S7" s="108"/>
      <c r="T7" s="108"/>
      <c r="U7" s="109"/>
      <c r="V7" s="108"/>
      <c r="W7" s="108"/>
      <c r="X7" s="110"/>
      <c r="Y7" s="108"/>
      <c r="Z7" s="111"/>
      <c r="AA7" s="112"/>
      <c r="AB7" s="112"/>
      <c r="AC7" s="112"/>
    </row>
    <row r="8" spans="1:29" s="8" customFormat="1" x14ac:dyDescent="0.3">
      <c r="A8" s="4"/>
      <c r="B8" s="19">
        <v>1</v>
      </c>
      <c r="C8" s="20" t="s">
        <v>35</v>
      </c>
      <c r="D8" s="21"/>
      <c r="E8" s="22" t="s">
        <v>36</v>
      </c>
      <c r="F8" s="22" t="s">
        <v>36</v>
      </c>
      <c r="G8" s="23" t="s">
        <v>36</v>
      </c>
      <c r="H8" s="23" t="s">
        <v>36</v>
      </c>
      <c r="I8" s="22" t="s">
        <v>37</v>
      </c>
      <c r="J8" s="22" t="s">
        <v>36</v>
      </c>
      <c r="K8" s="22" t="s">
        <v>36</v>
      </c>
      <c r="L8" s="22" t="s">
        <v>36</v>
      </c>
      <c r="M8" s="22" t="s">
        <v>36</v>
      </c>
      <c r="N8" s="22" t="s">
        <v>36</v>
      </c>
      <c r="O8" s="24" t="s">
        <v>36</v>
      </c>
      <c r="P8" s="22" t="s">
        <v>36</v>
      </c>
      <c r="Q8" s="22" t="s">
        <v>38</v>
      </c>
      <c r="R8" s="23" t="s">
        <v>36</v>
      </c>
      <c r="S8" s="23" t="s">
        <v>39</v>
      </c>
      <c r="T8" s="23" t="s">
        <v>36</v>
      </c>
      <c r="U8" s="23" t="s">
        <v>40</v>
      </c>
      <c r="V8" s="22" t="s">
        <v>36</v>
      </c>
      <c r="W8" s="22" t="s">
        <v>41</v>
      </c>
      <c r="X8" s="22" t="s">
        <v>36</v>
      </c>
      <c r="Y8" s="22" t="s">
        <v>36</v>
      </c>
      <c r="Z8" s="22" t="s">
        <v>36</v>
      </c>
      <c r="AA8" s="25" t="s">
        <v>42</v>
      </c>
      <c r="AB8" s="25" t="s">
        <v>43</v>
      </c>
      <c r="AC8" s="25" t="s">
        <v>42</v>
      </c>
    </row>
    <row r="9" spans="1:29" s="7" customFormat="1" x14ac:dyDescent="0.3">
      <c r="A9" s="1"/>
      <c r="B9" s="19">
        <v>2</v>
      </c>
      <c r="C9" s="20" t="s">
        <v>44</v>
      </c>
      <c r="D9" s="26"/>
      <c r="E9" s="23" t="s">
        <v>45</v>
      </c>
      <c r="F9" s="23" t="s">
        <v>46</v>
      </c>
      <c r="G9" s="23" t="s">
        <v>47</v>
      </c>
      <c r="H9" s="23" t="s">
        <v>47</v>
      </c>
      <c r="I9" s="23" t="s">
        <v>48</v>
      </c>
      <c r="J9" s="23" t="s">
        <v>49</v>
      </c>
      <c r="K9" s="23" t="s">
        <v>50</v>
      </c>
      <c r="L9" s="23" t="s">
        <v>51</v>
      </c>
      <c r="M9" s="23" t="s">
        <v>51</v>
      </c>
      <c r="N9" s="23" t="s">
        <v>52</v>
      </c>
      <c r="O9" s="23" t="s">
        <v>46</v>
      </c>
      <c r="P9" s="23" t="s">
        <v>53</v>
      </c>
      <c r="Q9" s="23" t="s">
        <v>54</v>
      </c>
      <c r="R9" s="23" t="s">
        <v>55</v>
      </c>
      <c r="S9" s="23" t="s">
        <v>55</v>
      </c>
      <c r="T9" s="23" t="s">
        <v>52</v>
      </c>
      <c r="U9" s="23" t="s">
        <v>56</v>
      </c>
      <c r="V9" s="23" t="s">
        <v>57</v>
      </c>
      <c r="W9" s="23" t="s">
        <v>57</v>
      </c>
      <c r="X9" s="23" t="s">
        <v>58</v>
      </c>
      <c r="Y9" s="23" t="s">
        <v>59</v>
      </c>
      <c r="Z9" s="23" t="s">
        <v>60</v>
      </c>
      <c r="AA9" s="25" t="s">
        <v>61</v>
      </c>
      <c r="AB9" s="25">
        <v>9020</v>
      </c>
      <c r="AC9" s="25" t="s">
        <v>62</v>
      </c>
    </row>
    <row r="10" spans="1:29" s="7" customFormat="1" ht="32.6" x14ac:dyDescent="0.3">
      <c r="A10" s="1"/>
      <c r="B10" s="19">
        <v>3</v>
      </c>
      <c r="C10" s="20" t="s">
        <v>497</v>
      </c>
      <c r="D10" s="26" t="s">
        <v>498</v>
      </c>
      <c r="E10" s="23"/>
      <c r="F10" s="23"/>
      <c r="G10" s="23"/>
      <c r="H10" s="23"/>
      <c r="I10" s="23"/>
      <c r="J10" s="23"/>
      <c r="K10" s="23"/>
      <c r="L10" s="23"/>
      <c r="M10" s="23"/>
      <c r="N10" s="23"/>
      <c r="O10" s="23"/>
      <c r="P10" s="23"/>
      <c r="Q10" s="23"/>
      <c r="R10" s="23"/>
      <c r="S10" s="23"/>
      <c r="T10" s="23"/>
      <c r="U10" s="23"/>
      <c r="V10" s="23"/>
      <c r="W10" s="23"/>
      <c r="X10" s="23"/>
      <c r="Y10" s="23"/>
      <c r="Z10" s="23"/>
      <c r="AA10" s="25"/>
      <c r="AB10" s="25"/>
      <c r="AC10" s="25"/>
    </row>
    <row r="11" spans="1:29" s="8" customFormat="1" x14ac:dyDescent="0.3">
      <c r="A11" s="4"/>
      <c r="B11" s="19">
        <v>4</v>
      </c>
      <c r="C11" s="20" t="s">
        <v>63</v>
      </c>
      <c r="D11" s="21"/>
      <c r="E11" s="22">
        <v>40</v>
      </c>
      <c r="F11" s="22">
        <v>40</v>
      </c>
      <c r="G11" s="23" t="s">
        <v>64</v>
      </c>
      <c r="H11" s="23" t="s">
        <v>64</v>
      </c>
      <c r="I11" s="22">
        <v>40</v>
      </c>
      <c r="J11" s="22">
        <v>30</v>
      </c>
      <c r="K11" s="22">
        <v>40</v>
      </c>
      <c r="L11" s="22">
        <v>40</v>
      </c>
      <c r="M11" s="22">
        <v>30</v>
      </c>
      <c r="N11" s="22">
        <v>30</v>
      </c>
      <c r="O11" s="22">
        <v>40</v>
      </c>
      <c r="P11" s="22">
        <v>40</v>
      </c>
      <c r="Q11" s="22">
        <v>40</v>
      </c>
      <c r="R11" s="23">
        <v>30</v>
      </c>
      <c r="S11" s="23">
        <v>30</v>
      </c>
      <c r="T11" s="23">
        <v>30</v>
      </c>
      <c r="U11" s="23">
        <v>30</v>
      </c>
      <c r="V11" s="22">
        <v>30</v>
      </c>
      <c r="W11" s="22">
        <v>30</v>
      </c>
      <c r="X11" s="22">
        <v>30</v>
      </c>
      <c r="Y11" s="22">
        <v>30</v>
      </c>
      <c r="Z11" s="22">
        <v>30</v>
      </c>
      <c r="AA11" s="25">
        <v>40</v>
      </c>
      <c r="AB11" s="25">
        <v>120</v>
      </c>
      <c r="AC11" s="25">
        <v>40</v>
      </c>
    </row>
    <row r="12" spans="1:29" s="11" customFormat="1" ht="32.6" x14ac:dyDescent="0.25">
      <c r="A12" s="4"/>
      <c r="B12" s="19">
        <v>5</v>
      </c>
      <c r="C12" s="20" t="s">
        <v>65</v>
      </c>
      <c r="D12" s="21" t="s">
        <v>66</v>
      </c>
      <c r="E12" s="22">
        <v>1</v>
      </c>
      <c r="F12" s="22">
        <v>1</v>
      </c>
      <c r="G12" s="23" t="s">
        <v>67</v>
      </c>
      <c r="H12" s="23" t="s">
        <v>67</v>
      </c>
      <c r="I12" s="22" t="s">
        <v>68</v>
      </c>
      <c r="J12" s="22" t="s">
        <v>69</v>
      </c>
      <c r="K12" s="22">
        <v>4</v>
      </c>
      <c r="L12" s="22">
        <v>3</v>
      </c>
      <c r="M12" s="22" t="s">
        <v>70</v>
      </c>
      <c r="N12" s="22" t="s">
        <v>71</v>
      </c>
      <c r="O12" s="22" t="s">
        <v>72</v>
      </c>
      <c r="P12" s="22" t="s">
        <v>73</v>
      </c>
      <c r="Q12" s="22" t="s">
        <v>74</v>
      </c>
      <c r="R12" s="23" t="s">
        <v>75</v>
      </c>
      <c r="S12" s="23" t="s">
        <v>76</v>
      </c>
      <c r="T12" s="23" t="s">
        <v>77</v>
      </c>
      <c r="U12" s="23">
        <v>2</v>
      </c>
      <c r="V12" s="22" t="s">
        <v>73</v>
      </c>
      <c r="W12" s="22" t="s">
        <v>69</v>
      </c>
      <c r="X12" s="22" t="s">
        <v>78</v>
      </c>
      <c r="Y12" s="22" t="s">
        <v>70</v>
      </c>
      <c r="Z12" s="22" t="s">
        <v>69</v>
      </c>
      <c r="AA12" s="27">
        <v>3</v>
      </c>
      <c r="AB12" s="27">
        <v>2</v>
      </c>
      <c r="AC12" s="27">
        <v>3</v>
      </c>
    </row>
    <row r="13" spans="1:29" s="11" customFormat="1" x14ac:dyDescent="0.25">
      <c r="A13" s="4"/>
      <c r="B13" s="19">
        <v>6</v>
      </c>
      <c r="C13" s="20" t="s">
        <v>488</v>
      </c>
      <c r="D13" s="21" t="s">
        <v>487</v>
      </c>
      <c r="E13" s="22"/>
      <c r="F13" s="22"/>
      <c r="G13" s="23"/>
      <c r="H13" s="23"/>
      <c r="I13" s="22"/>
      <c r="J13" s="22"/>
      <c r="K13" s="22"/>
      <c r="L13" s="22"/>
      <c r="M13" s="22"/>
      <c r="N13" s="22"/>
      <c r="O13" s="22"/>
      <c r="P13" s="22"/>
      <c r="Q13" s="22"/>
      <c r="R13" s="23"/>
      <c r="S13" s="23"/>
      <c r="T13" s="23"/>
      <c r="U13" s="23"/>
      <c r="V13" s="22"/>
      <c r="W13" s="22"/>
      <c r="X13" s="22"/>
      <c r="Y13" s="22"/>
      <c r="Z13" s="22"/>
      <c r="AA13" s="1"/>
      <c r="AB13" s="1"/>
      <c r="AC13" s="1"/>
    </row>
    <row r="14" spans="1:29" s="8" customFormat="1" x14ac:dyDescent="0.25">
      <c r="A14" s="4"/>
      <c r="B14" s="19">
        <v>7</v>
      </c>
      <c r="C14" s="20" t="s">
        <v>79</v>
      </c>
      <c r="D14" s="21"/>
      <c r="E14" s="22">
        <v>144</v>
      </c>
      <c r="F14" s="22">
        <v>90</v>
      </c>
      <c r="G14" s="23">
        <v>80</v>
      </c>
      <c r="H14" s="23">
        <v>80</v>
      </c>
      <c r="I14" s="22">
        <v>120</v>
      </c>
      <c r="J14" s="22">
        <v>112</v>
      </c>
      <c r="K14" s="22">
        <v>80</v>
      </c>
      <c r="L14" s="22">
        <v>120</v>
      </c>
      <c r="M14" s="22">
        <v>112</v>
      </c>
      <c r="N14" s="22">
        <v>80</v>
      </c>
      <c r="O14" s="22">
        <v>120</v>
      </c>
      <c r="P14" s="22">
        <v>112</v>
      </c>
      <c r="Q14" s="22">
        <v>120</v>
      </c>
      <c r="R14" s="23">
        <v>80</v>
      </c>
      <c r="S14" s="23">
        <v>66</v>
      </c>
      <c r="T14" s="23">
        <v>80</v>
      </c>
      <c r="U14" s="23">
        <v>110</v>
      </c>
      <c r="V14" s="22">
        <v>80</v>
      </c>
      <c r="W14" s="22">
        <v>75</v>
      </c>
      <c r="X14" s="22" t="s">
        <v>80</v>
      </c>
      <c r="Y14" s="22">
        <v>60</v>
      </c>
      <c r="Z14" s="22">
        <v>75</v>
      </c>
    </row>
    <row r="15" spans="1:29" s="8" customFormat="1" x14ac:dyDescent="0.25">
      <c r="A15" s="4"/>
      <c r="B15" s="19">
        <v>8</v>
      </c>
      <c r="C15" s="20" t="s">
        <v>514</v>
      </c>
      <c r="D15" s="21" t="s">
        <v>515</v>
      </c>
      <c r="E15" s="22"/>
      <c r="F15" s="22"/>
      <c r="G15" s="23"/>
      <c r="H15" s="23"/>
      <c r="I15" s="22"/>
      <c r="J15" s="22"/>
      <c r="K15" s="22"/>
      <c r="L15" s="22"/>
      <c r="M15" s="22"/>
      <c r="N15" s="22"/>
      <c r="O15" s="22"/>
      <c r="P15" s="22"/>
      <c r="Q15" s="22"/>
      <c r="R15" s="23"/>
      <c r="S15" s="23"/>
      <c r="T15" s="23"/>
      <c r="U15" s="23"/>
      <c r="V15" s="22"/>
      <c r="W15" s="22"/>
      <c r="X15" s="22"/>
      <c r="Y15" s="22"/>
      <c r="Z15" s="22"/>
    </row>
    <row r="16" spans="1:29" s="8" customFormat="1" x14ac:dyDescent="0.25">
      <c r="A16" s="4"/>
      <c r="B16" s="19">
        <v>9</v>
      </c>
      <c r="C16" s="20" t="s">
        <v>490</v>
      </c>
      <c r="D16" s="21" t="s">
        <v>491</v>
      </c>
      <c r="E16" s="22"/>
      <c r="F16" s="22"/>
      <c r="G16" s="23"/>
      <c r="H16" s="23"/>
      <c r="I16" s="22"/>
      <c r="J16" s="22"/>
      <c r="K16" s="22"/>
      <c r="L16" s="22"/>
      <c r="M16" s="22"/>
      <c r="N16" s="22"/>
      <c r="O16" s="22"/>
      <c r="P16" s="22"/>
      <c r="Q16" s="22"/>
      <c r="R16" s="23"/>
      <c r="S16" s="23"/>
      <c r="T16" s="23"/>
      <c r="U16" s="23"/>
      <c r="V16" s="22"/>
      <c r="W16" s="22"/>
      <c r="X16" s="22"/>
      <c r="Y16" s="22"/>
      <c r="Z16" s="22"/>
    </row>
    <row r="17" spans="1:29" s="8" customFormat="1" x14ac:dyDescent="0.25">
      <c r="A17" s="4"/>
      <c r="B17" s="19">
        <v>10</v>
      </c>
      <c r="C17" s="20" t="s">
        <v>484</v>
      </c>
      <c r="D17" s="21"/>
      <c r="E17" s="22"/>
      <c r="F17" s="22"/>
      <c r="G17" s="23"/>
      <c r="H17" s="23"/>
      <c r="I17" s="22"/>
      <c r="J17" s="22"/>
      <c r="K17" s="22"/>
      <c r="L17" s="22"/>
      <c r="M17" s="22"/>
      <c r="N17" s="22"/>
      <c r="O17" s="22"/>
      <c r="P17" s="22"/>
      <c r="Q17" s="22"/>
      <c r="R17" s="23"/>
      <c r="S17" s="23"/>
      <c r="T17" s="23"/>
      <c r="U17" s="23"/>
      <c r="V17" s="22"/>
      <c r="W17" s="22"/>
      <c r="X17" s="22"/>
      <c r="Y17" s="22"/>
      <c r="Z17" s="22"/>
    </row>
    <row r="18" spans="1:29" s="8" customFormat="1" x14ac:dyDescent="0.25">
      <c r="A18" s="4"/>
      <c r="B18" s="106">
        <v>11</v>
      </c>
      <c r="C18" s="105" t="s">
        <v>485</v>
      </c>
      <c r="D18" s="115" t="s">
        <v>489</v>
      </c>
      <c r="E18" s="116"/>
      <c r="F18" s="116"/>
      <c r="G18" s="117"/>
      <c r="H18" s="117"/>
      <c r="I18" s="116"/>
      <c r="J18" s="116"/>
      <c r="K18" s="116"/>
      <c r="L18" s="116"/>
      <c r="M18" s="116"/>
      <c r="N18" s="116"/>
      <c r="O18" s="116"/>
      <c r="P18" s="116"/>
      <c r="Q18" s="116"/>
      <c r="R18" s="117"/>
      <c r="S18" s="117"/>
      <c r="T18" s="117"/>
      <c r="U18" s="117"/>
      <c r="V18" s="116"/>
      <c r="W18" s="116"/>
      <c r="X18" s="116"/>
      <c r="Y18" s="116"/>
      <c r="Z18" s="116"/>
    </row>
    <row r="19" spans="1:29" s="8" customFormat="1" x14ac:dyDescent="0.25">
      <c r="A19" s="4"/>
      <c r="B19" s="19">
        <v>12</v>
      </c>
      <c r="C19" s="20" t="s">
        <v>503</v>
      </c>
      <c r="D19" s="21" t="s">
        <v>501</v>
      </c>
      <c r="E19" s="22"/>
      <c r="F19" s="22"/>
      <c r="G19" s="23"/>
      <c r="H19" s="23"/>
      <c r="I19" s="22"/>
      <c r="J19" s="22"/>
      <c r="K19" s="22"/>
      <c r="L19" s="22"/>
      <c r="M19" s="22"/>
      <c r="N19" s="22"/>
      <c r="O19" s="22"/>
      <c r="P19" s="22"/>
      <c r="Q19" s="22"/>
      <c r="R19" s="23"/>
      <c r="S19" s="23"/>
      <c r="T19" s="23"/>
      <c r="U19" s="23"/>
      <c r="V19" s="22"/>
      <c r="W19" s="22"/>
      <c r="X19" s="22"/>
      <c r="Y19" s="22"/>
      <c r="Z19" s="22"/>
      <c r="AA19" s="127"/>
      <c r="AB19" s="127"/>
      <c r="AC19" s="127"/>
    </row>
    <row r="20" spans="1:29" s="8" customFormat="1" x14ac:dyDescent="0.25">
      <c r="A20" s="4"/>
      <c r="B20" s="19">
        <v>13</v>
      </c>
      <c r="C20" s="20" t="s">
        <v>500</v>
      </c>
      <c r="D20" s="21" t="s">
        <v>502</v>
      </c>
      <c r="E20" s="22"/>
      <c r="F20" s="22"/>
      <c r="G20" s="23"/>
      <c r="H20" s="23"/>
      <c r="I20" s="22"/>
      <c r="J20" s="22"/>
      <c r="K20" s="22"/>
      <c r="L20" s="22"/>
      <c r="M20" s="22"/>
      <c r="N20" s="22"/>
      <c r="O20" s="22"/>
      <c r="P20" s="22"/>
      <c r="Q20" s="22"/>
      <c r="R20" s="23"/>
      <c r="S20" s="23"/>
      <c r="T20" s="23"/>
      <c r="U20" s="23"/>
      <c r="V20" s="22"/>
      <c r="W20" s="22"/>
      <c r="X20" s="22"/>
      <c r="Y20" s="22"/>
      <c r="Z20" s="22"/>
      <c r="AA20" s="127"/>
      <c r="AB20" s="127"/>
      <c r="AC20" s="127"/>
    </row>
    <row r="21" spans="1:29" s="18" customFormat="1" x14ac:dyDescent="0.25">
      <c r="A21" s="14">
        <f>A7+1</f>
        <v>2</v>
      </c>
      <c r="B21" s="121" t="s">
        <v>84</v>
      </c>
      <c r="C21" s="122"/>
      <c r="D21" s="118"/>
      <c r="E21" s="29"/>
      <c r="F21" s="29"/>
      <c r="G21" s="29"/>
      <c r="H21" s="29"/>
      <c r="I21" s="29"/>
      <c r="J21" s="118"/>
      <c r="K21" s="118"/>
      <c r="L21" s="118"/>
      <c r="M21" s="118"/>
      <c r="N21" s="123"/>
      <c r="O21" s="123"/>
      <c r="P21" s="123"/>
      <c r="Q21" s="29"/>
      <c r="R21" s="124"/>
      <c r="S21" s="124"/>
      <c r="T21" s="124"/>
      <c r="U21" s="125"/>
      <c r="V21" s="29"/>
      <c r="W21" s="29"/>
      <c r="X21" s="119"/>
      <c r="Y21" s="118"/>
      <c r="Z21" s="126"/>
    </row>
    <row r="22" spans="1:29" s="37" customFormat="1" ht="32.6" x14ac:dyDescent="0.25">
      <c r="A22" s="31"/>
      <c r="B22" s="167">
        <v>1</v>
      </c>
      <c r="C22" s="169" t="s">
        <v>85</v>
      </c>
      <c r="D22" s="32" t="s">
        <v>86</v>
      </c>
      <c r="E22" s="33" t="s">
        <v>87</v>
      </c>
      <c r="F22" s="33" t="s">
        <v>88</v>
      </c>
      <c r="G22" s="33" t="s">
        <v>88</v>
      </c>
      <c r="H22" s="33" t="s">
        <v>88</v>
      </c>
      <c r="I22" s="33" t="s">
        <v>89</v>
      </c>
      <c r="J22" s="33" t="s">
        <v>88</v>
      </c>
      <c r="K22" s="33" t="s">
        <v>90</v>
      </c>
      <c r="L22" s="33" t="s">
        <v>90</v>
      </c>
      <c r="M22" s="33" t="s">
        <v>88</v>
      </c>
      <c r="N22" s="33" t="s">
        <v>88</v>
      </c>
      <c r="O22" s="34" t="s">
        <v>91</v>
      </c>
      <c r="P22" s="33" t="s">
        <v>88</v>
      </c>
      <c r="Q22" s="33" t="s">
        <v>88</v>
      </c>
      <c r="R22" s="35" t="s">
        <v>92</v>
      </c>
      <c r="S22" s="35" t="s">
        <v>93</v>
      </c>
      <c r="T22" s="35" t="s">
        <v>92</v>
      </c>
      <c r="U22" s="33" t="s">
        <v>88</v>
      </c>
      <c r="V22" s="33" t="s">
        <v>88</v>
      </c>
      <c r="W22" s="33" t="s">
        <v>94</v>
      </c>
      <c r="X22" s="33" t="s">
        <v>95</v>
      </c>
      <c r="Y22" s="33" t="s">
        <v>96</v>
      </c>
      <c r="Z22" s="33" t="s">
        <v>96</v>
      </c>
    </row>
    <row r="23" spans="1:29" s="37" customFormat="1" ht="49.6" customHeight="1" x14ac:dyDescent="0.25">
      <c r="A23" s="31"/>
      <c r="B23" s="168"/>
      <c r="C23" s="170"/>
      <c r="D23" s="32" t="s">
        <v>100</v>
      </c>
      <c r="E23" s="33" t="s">
        <v>4</v>
      </c>
      <c r="F23" s="33" t="s">
        <v>101</v>
      </c>
      <c r="G23" s="33" t="s">
        <v>101</v>
      </c>
      <c r="H23" s="33" t="s">
        <v>101</v>
      </c>
      <c r="I23" s="33" t="s">
        <v>102</v>
      </c>
      <c r="J23" s="33" t="s">
        <v>101</v>
      </c>
      <c r="K23" s="33" t="s">
        <v>103</v>
      </c>
      <c r="L23" s="33" t="s">
        <v>103</v>
      </c>
      <c r="M23" s="33" t="s">
        <v>101</v>
      </c>
      <c r="N23" s="33" t="s">
        <v>101</v>
      </c>
      <c r="O23" s="38" t="s">
        <v>104</v>
      </c>
      <c r="P23" s="33" t="s">
        <v>105</v>
      </c>
      <c r="Q23" s="33" t="s">
        <v>105</v>
      </c>
      <c r="R23" s="35" t="s">
        <v>101</v>
      </c>
      <c r="S23" s="35" t="s">
        <v>106</v>
      </c>
      <c r="T23" s="35" t="s">
        <v>101</v>
      </c>
      <c r="U23" s="33" t="s">
        <v>101</v>
      </c>
      <c r="V23" s="33" t="s">
        <v>102</v>
      </c>
      <c r="W23" s="33" t="s">
        <v>107</v>
      </c>
      <c r="X23" s="33" t="s">
        <v>108</v>
      </c>
      <c r="Y23" s="33" t="s">
        <v>109</v>
      </c>
      <c r="Z23" s="33" t="s">
        <v>109</v>
      </c>
    </row>
    <row r="24" spans="1:29" s="48" customFormat="1" ht="65.25" x14ac:dyDescent="0.25">
      <c r="A24" s="40"/>
      <c r="B24" s="41">
        <v>2</v>
      </c>
      <c r="C24" s="42" t="s">
        <v>111</v>
      </c>
      <c r="D24" s="43"/>
      <c r="E24" s="44"/>
      <c r="F24" s="44"/>
      <c r="G24" s="44"/>
      <c r="H24" s="44"/>
      <c r="I24" s="44"/>
      <c r="J24" s="44"/>
      <c r="K24" s="44"/>
      <c r="L24" s="44"/>
      <c r="M24" s="44" t="s">
        <v>112</v>
      </c>
      <c r="N24" s="44"/>
      <c r="O24" s="45"/>
      <c r="P24" s="44"/>
      <c r="Q24" s="44"/>
      <c r="R24" s="46"/>
      <c r="S24" s="46"/>
      <c r="T24" s="46"/>
      <c r="U24" s="44"/>
      <c r="V24" s="44"/>
      <c r="W24" s="44"/>
      <c r="X24" s="44"/>
      <c r="Y24" s="44"/>
      <c r="Z24" s="44"/>
    </row>
    <row r="25" spans="1:29" s="48" customFormat="1" x14ac:dyDescent="0.25">
      <c r="A25" s="40"/>
      <c r="B25" s="41">
        <v>3</v>
      </c>
      <c r="C25" s="42" t="s">
        <v>113</v>
      </c>
      <c r="D25" s="43"/>
      <c r="E25" s="44"/>
      <c r="F25" s="44"/>
      <c r="G25" s="44"/>
      <c r="H25" s="44"/>
      <c r="I25" s="44"/>
      <c r="J25" s="44"/>
      <c r="K25" s="44"/>
      <c r="L25" s="44"/>
      <c r="M25" s="44" t="s">
        <v>114</v>
      </c>
      <c r="N25" s="44"/>
      <c r="O25" s="45"/>
      <c r="P25" s="44"/>
      <c r="Q25" s="44"/>
      <c r="R25" s="46"/>
      <c r="S25" s="46"/>
      <c r="T25" s="46"/>
      <c r="U25" s="44"/>
      <c r="V25" s="44"/>
      <c r="W25" s="44"/>
      <c r="X25" s="44"/>
      <c r="Y25" s="44"/>
      <c r="Z25" s="44"/>
    </row>
    <row r="26" spans="1:29" s="48" customFormat="1" ht="32.6" x14ac:dyDescent="0.25">
      <c r="A26" s="40"/>
      <c r="B26" s="41">
        <v>4</v>
      </c>
      <c r="C26" s="42" t="s">
        <v>492</v>
      </c>
      <c r="D26" s="43" t="s">
        <v>493</v>
      </c>
      <c r="E26" s="44"/>
      <c r="F26" s="44"/>
      <c r="G26" s="44"/>
      <c r="H26" s="44"/>
      <c r="I26" s="44"/>
      <c r="J26" s="44"/>
      <c r="K26" s="44"/>
      <c r="L26" s="44"/>
      <c r="M26" s="44"/>
      <c r="N26" s="44"/>
      <c r="O26" s="45"/>
      <c r="P26" s="44"/>
      <c r="Q26" s="44"/>
      <c r="R26" s="46"/>
      <c r="S26" s="46"/>
      <c r="T26" s="46"/>
      <c r="U26" s="44"/>
      <c r="V26" s="44"/>
      <c r="W26" s="44"/>
      <c r="X26" s="44"/>
      <c r="Y26" s="44"/>
      <c r="Z26" s="44"/>
    </row>
    <row r="27" spans="1:29" s="37" customFormat="1" x14ac:dyDescent="0.3">
      <c r="A27" s="31"/>
      <c r="B27" s="49">
        <v>5</v>
      </c>
      <c r="C27" s="50" t="s">
        <v>115</v>
      </c>
      <c r="D27" s="32" t="s">
        <v>116</v>
      </c>
      <c r="E27" s="33" t="s">
        <v>4</v>
      </c>
      <c r="F27" s="33"/>
      <c r="G27" s="33" t="s">
        <v>117</v>
      </c>
      <c r="H27" s="33" t="s">
        <v>117</v>
      </c>
      <c r="I27" s="33" t="s">
        <v>118</v>
      </c>
      <c r="J27" s="35" t="s">
        <v>119</v>
      </c>
      <c r="K27" s="33" t="s">
        <v>120</v>
      </c>
      <c r="L27" s="33" t="s">
        <v>121</v>
      </c>
      <c r="M27" s="33" t="s">
        <v>122</v>
      </c>
      <c r="N27" s="33" t="s">
        <v>123</v>
      </c>
      <c r="O27" s="33"/>
      <c r="P27" s="33" t="s">
        <v>124</v>
      </c>
      <c r="Q27" s="33" t="s">
        <v>125</v>
      </c>
      <c r="R27" s="35">
        <v>14</v>
      </c>
      <c r="S27" s="35" t="s">
        <v>126</v>
      </c>
      <c r="T27" s="35">
        <v>7</v>
      </c>
      <c r="U27" s="33" t="s">
        <v>127</v>
      </c>
      <c r="V27" s="33" t="s">
        <v>128</v>
      </c>
      <c r="W27" s="33" t="s">
        <v>129</v>
      </c>
      <c r="X27" s="33" t="s">
        <v>122</v>
      </c>
      <c r="Y27" s="33" t="s">
        <v>124</v>
      </c>
      <c r="Z27" s="33" t="s">
        <v>130</v>
      </c>
      <c r="AA27" s="28" t="s">
        <v>81</v>
      </c>
      <c r="AB27" s="25" t="s">
        <v>82</v>
      </c>
      <c r="AC27" s="25" t="s">
        <v>83</v>
      </c>
    </row>
    <row r="28" spans="1:29" s="8" customFormat="1" ht="32.6" x14ac:dyDescent="0.25">
      <c r="A28" s="4"/>
      <c r="B28" s="19">
        <v>6</v>
      </c>
      <c r="C28" s="20" t="s">
        <v>131</v>
      </c>
      <c r="D28" s="21"/>
      <c r="E28" s="22" t="s">
        <v>132</v>
      </c>
      <c r="F28" s="22" t="s">
        <v>132</v>
      </c>
      <c r="G28" s="22" t="s">
        <v>133</v>
      </c>
      <c r="H28" s="22" t="s">
        <v>133</v>
      </c>
      <c r="I28" s="22" t="s">
        <v>134</v>
      </c>
      <c r="J28" s="22" t="s">
        <v>135</v>
      </c>
      <c r="K28" s="22" t="s">
        <v>136</v>
      </c>
      <c r="L28" s="22" t="s">
        <v>136</v>
      </c>
      <c r="M28" s="22" t="s">
        <v>4</v>
      </c>
      <c r="N28" s="22" t="s">
        <v>137</v>
      </c>
      <c r="O28" s="22"/>
      <c r="P28" s="22" t="s">
        <v>4</v>
      </c>
      <c r="Q28" s="22" t="s">
        <v>4</v>
      </c>
      <c r="R28" s="23" t="s">
        <v>138</v>
      </c>
      <c r="S28" s="23" t="s">
        <v>139</v>
      </c>
      <c r="T28" s="23" t="s">
        <v>140</v>
      </c>
      <c r="U28" s="22" t="s">
        <v>141</v>
      </c>
      <c r="V28" s="22" t="s">
        <v>141</v>
      </c>
      <c r="W28" s="22" t="s">
        <v>4</v>
      </c>
      <c r="X28" s="22" t="s">
        <v>142</v>
      </c>
      <c r="Y28" s="22" t="s">
        <v>143</v>
      </c>
      <c r="Z28" s="22" t="s">
        <v>143</v>
      </c>
    </row>
    <row r="29" spans="1:29" s="8" customFormat="1" ht="48.9" x14ac:dyDescent="0.3">
      <c r="A29" s="4"/>
      <c r="B29" s="189">
        <v>7</v>
      </c>
      <c r="C29" s="187" t="s">
        <v>147</v>
      </c>
      <c r="D29" s="21" t="s">
        <v>148</v>
      </c>
      <c r="E29" s="22" t="s">
        <v>4</v>
      </c>
      <c r="F29" s="22" t="s">
        <v>149</v>
      </c>
      <c r="G29" s="22" t="s">
        <v>149</v>
      </c>
      <c r="H29" s="22" t="s">
        <v>149</v>
      </c>
      <c r="I29" s="22" t="s">
        <v>150</v>
      </c>
      <c r="J29" s="22" t="s">
        <v>150</v>
      </c>
      <c r="K29" s="22" t="s">
        <v>151</v>
      </c>
      <c r="L29" s="22" t="s">
        <v>150</v>
      </c>
      <c r="M29" s="22" t="s">
        <v>152</v>
      </c>
      <c r="N29" s="22" t="s">
        <v>150</v>
      </c>
      <c r="O29" s="52" t="s">
        <v>153</v>
      </c>
      <c r="P29" s="22" t="s">
        <v>154</v>
      </c>
      <c r="Q29" s="22" t="s">
        <v>149</v>
      </c>
      <c r="R29" s="23" t="s">
        <v>155</v>
      </c>
      <c r="S29" s="23" t="s">
        <v>156</v>
      </c>
      <c r="T29" s="23" t="s">
        <v>150</v>
      </c>
      <c r="U29" s="22" t="s">
        <v>150</v>
      </c>
      <c r="V29" s="22" t="s">
        <v>152</v>
      </c>
      <c r="W29" s="22" t="s">
        <v>152</v>
      </c>
      <c r="X29" s="22" t="s">
        <v>150</v>
      </c>
      <c r="Y29" s="22" t="s">
        <v>151</v>
      </c>
      <c r="Z29" s="22" t="s">
        <v>157</v>
      </c>
      <c r="AA29" s="25">
        <v>120</v>
      </c>
      <c r="AB29" s="25">
        <v>120</v>
      </c>
      <c r="AC29" s="25">
        <v>114</v>
      </c>
    </row>
    <row r="30" spans="1:29" s="8" customFormat="1" ht="32.6" x14ac:dyDescent="0.3">
      <c r="A30" s="4"/>
      <c r="B30" s="190"/>
      <c r="C30" s="188"/>
      <c r="D30" s="21" t="s">
        <v>158</v>
      </c>
      <c r="E30" s="22" t="s">
        <v>4</v>
      </c>
      <c r="F30" s="22">
        <v>50</v>
      </c>
      <c r="G30" s="22">
        <v>60</v>
      </c>
      <c r="H30" s="22">
        <v>60</v>
      </c>
      <c r="I30" s="22">
        <v>20</v>
      </c>
      <c r="J30" s="22">
        <v>60</v>
      </c>
      <c r="K30" s="22" t="s">
        <v>159</v>
      </c>
      <c r="L30" s="22" t="s">
        <v>159</v>
      </c>
      <c r="M30" s="22">
        <v>60</v>
      </c>
      <c r="N30" s="22">
        <v>60</v>
      </c>
      <c r="O30" s="52" t="s">
        <v>160</v>
      </c>
      <c r="P30" s="22">
        <v>60</v>
      </c>
      <c r="Q30" s="22">
        <v>60</v>
      </c>
      <c r="R30" s="23">
        <v>60</v>
      </c>
      <c r="S30" s="23">
        <v>60</v>
      </c>
      <c r="T30" s="23">
        <v>60</v>
      </c>
      <c r="U30" s="22">
        <v>120</v>
      </c>
      <c r="V30" s="22">
        <v>60</v>
      </c>
      <c r="W30" s="22">
        <v>60</v>
      </c>
      <c r="X30" s="22">
        <v>60</v>
      </c>
      <c r="Y30" s="22">
        <v>38</v>
      </c>
      <c r="Z30" s="22">
        <v>38</v>
      </c>
      <c r="AA30" s="36" t="s">
        <v>97</v>
      </c>
      <c r="AB30" s="36" t="s">
        <v>98</v>
      </c>
      <c r="AC30" s="36" t="s">
        <v>99</v>
      </c>
    </row>
    <row r="31" spans="1:29" s="8" customFormat="1" ht="32.6" x14ac:dyDescent="0.25">
      <c r="A31" s="4"/>
      <c r="B31" s="189">
        <v>8</v>
      </c>
      <c r="C31" s="187" t="s">
        <v>162</v>
      </c>
      <c r="D31" s="21" t="s">
        <v>163</v>
      </c>
      <c r="E31" s="22" t="s">
        <v>4</v>
      </c>
      <c r="F31" s="22" t="s">
        <v>164</v>
      </c>
      <c r="G31" s="22" t="s">
        <v>165</v>
      </c>
      <c r="H31" s="22" t="s">
        <v>165</v>
      </c>
      <c r="I31" s="22" t="s">
        <v>166</v>
      </c>
      <c r="J31" s="22" t="s">
        <v>167</v>
      </c>
      <c r="K31" s="22" t="s">
        <v>168</v>
      </c>
      <c r="L31" s="22" t="s">
        <v>169</v>
      </c>
      <c r="M31" s="22" t="s">
        <v>165</v>
      </c>
      <c r="N31" s="22" t="s">
        <v>170</v>
      </c>
      <c r="O31" s="22" t="s">
        <v>171</v>
      </c>
      <c r="P31" s="22" t="s">
        <v>165</v>
      </c>
      <c r="Q31" s="22" t="s">
        <v>165</v>
      </c>
      <c r="R31" s="23" t="s">
        <v>172</v>
      </c>
      <c r="S31" s="23" t="s">
        <v>172</v>
      </c>
      <c r="T31" s="23" t="s">
        <v>173</v>
      </c>
      <c r="U31" s="22" t="s">
        <v>174</v>
      </c>
      <c r="V31" s="22" t="s">
        <v>164</v>
      </c>
      <c r="W31" s="22" t="s">
        <v>165</v>
      </c>
      <c r="X31" s="53" t="s">
        <v>175</v>
      </c>
      <c r="Y31" s="22" t="s">
        <v>176</v>
      </c>
      <c r="Z31" s="22" t="s">
        <v>176</v>
      </c>
    </row>
    <row r="32" spans="1:29" s="8" customFormat="1" ht="32.6" x14ac:dyDescent="0.25">
      <c r="A32" s="4"/>
      <c r="B32" s="190"/>
      <c r="C32" s="188"/>
      <c r="D32" s="21" t="s">
        <v>177</v>
      </c>
      <c r="E32" s="22" t="s">
        <v>4</v>
      </c>
      <c r="F32" s="22" t="s">
        <v>178</v>
      </c>
      <c r="G32" s="22" t="s">
        <v>4</v>
      </c>
      <c r="H32" s="22" t="s">
        <v>4</v>
      </c>
      <c r="I32" s="22" t="s">
        <v>179</v>
      </c>
      <c r="J32" s="22" t="s">
        <v>180</v>
      </c>
      <c r="K32" s="22" t="s">
        <v>4</v>
      </c>
      <c r="L32" s="22" t="s">
        <v>4</v>
      </c>
      <c r="M32" s="22" t="s">
        <v>4</v>
      </c>
      <c r="N32" s="22" t="s">
        <v>4</v>
      </c>
      <c r="O32" s="54"/>
      <c r="P32" s="22" t="s">
        <v>181</v>
      </c>
      <c r="Q32" s="22" t="s">
        <v>181</v>
      </c>
      <c r="R32" s="23" t="s">
        <v>4</v>
      </c>
      <c r="S32" s="23" t="s">
        <v>4</v>
      </c>
      <c r="T32" s="23" t="s">
        <v>4</v>
      </c>
      <c r="U32" s="22" t="s">
        <v>182</v>
      </c>
      <c r="V32" s="55"/>
      <c r="W32" s="22" t="s">
        <v>4</v>
      </c>
      <c r="X32" s="53" t="s">
        <v>4</v>
      </c>
      <c r="Y32" s="22" t="s">
        <v>183</v>
      </c>
      <c r="Z32" s="22" t="s">
        <v>183</v>
      </c>
    </row>
    <row r="33" spans="1:29" s="8" customFormat="1" x14ac:dyDescent="0.3">
      <c r="A33" s="4"/>
      <c r="B33" s="19">
        <v>9</v>
      </c>
      <c r="C33" s="20" t="s">
        <v>187</v>
      </c>
      <c r="D33" s="21"/>
      <c r="E33" s="22" t="s">
        <v>188</v>
      </c>
      <c r="F33" s="22" t="s">
        <v>188</v>
      </c>
      <c r="G33" s="22" t="s">
        <v>189</v>
      </c>
      <c r="H33" s="22" t="s">
        <v>189</v>
      </c>
      <c r="I33" s="22" t="s">
        <v>188</v>
      </c>
      <c r="J33" s="22" t="s">
        <v>188</v>
      </c>
      <c r="K33" s="22" t="s">
        <v>188</v>
      </c>
      <c r="L33" s="22" t="s">
        <v>188</v>
      </c>
      <c r="M33" s="22" t="s">
        <v>188</v>
      </c>
      <c r="N33" s="22" t="s">
        <v>188</v>
      </c>
      <c r="O33" s="22"/>
      <c r="P33" s="22" t="s">
        <v>188</v>
      </c>
      <c r="Q33" s="22" t="s">
        <v>188</v>
      </c>
      <c r="R33" s="23" t="s">
        <v>188</v>
      </c>
      <c r="S33" s="23" t="s">
        <v>188</v>
      </c>
      <c r="T33" s="23" t="s">
        <v>188</v>
      </c>
      <c r="U33" s="22" t="s">
        <v>188</v>
      </c>
      <c r="V33" s="22" t="s">
        <v>188</v>
      </c>
      <c r="W33" s="22" t="s">
        <v>188</v>
      </c>
      <c r="X33" s="22" t="s">
        <v>190</v>
      </c>
      <c r="Y33" s="22"/>
      <c r="Z33" s="22"/>
      <c r="AA33" s="39" t="s">
        <v>110</v>
      </c>
      <c r="AB33" s="39" t="s">
        <v>110</v>
      </c>
      <c r="AC33" s="39" t="s">
        <v>110</v>
      </c>
    </row>
    <row r="34" spans="1:29" s="8" customFormat="1" x14ac:dyDescent="0.3">
      <c r="A34" s="4"/>
      <c r="B34" s="189">
        <v>10</v>
      </c>
      <c r="C34" s="20" t="s">
        <v>494</v>
      </c>
      <c r="D34" s="21" t="s">
        <v>495</v>
      </c>
      <c r="E34" s="22"/>
      <c r="F34" s="22"/>
      <c r="G34" s="22"/>
      <c r="H34" s="22"/>
      <c r="I34" s="22"/>
      <c r="J34" s="22"/>
      <c r="K34" s="22"/>
      <c r="L34" s="22"/>
      <c r="M34" s="22"/>
      <c r="N34" s="22"/>
      <c r="O34" s="22"/>
      <c r="P34" s="22"/>
      <c r="Q34" s="22"/>
      <c r="R34" s="23"/>
      <c r="S34" s="23"/>
      <c r="T34" s="23"/>
      <c r="U34" s="22"/>
      <c r="V34" s="22"/>
      <c r="W34" s="22"/>
      <c r="X34" s="22"/>
      <c r="Y34" s="22"/>
      <c r="Z34" s="22"/>
      <c r="AA34" s="39"/>
      <c r="AB34" s="39"/>
      <c r="AC34" s="39"/>
    </row>
    <row r="35" spans="1:29" s="8" customFormat="1" x14ac:dyDescent="0.3">
      <c r="A35" s="4"/>
      <c r="B35" s="190"/>
      <c r="C35" s="20" t="s">
        <v>504</v>
      </c>
      <c r="D35" s="21" t="s">
        <v>495</v>
      </c>
      <c r="E35" s="22"/>
      <c r="F35" s="22"/>
      <c r="G35" s="22"/>
      <c r="H35" s="22"/>
      <c r="I35" s="22"/>
      <c r="J35" s="22"/>
      <c r="K35" s="22"/>
      <c r="L35" s="22"/>
      <c r="M35" s="22"/>
      <c r="N35" s="22"/>
      <c r="O35" s="22"/>
      <c r="P35" s="22"/>
      <c r="Q35" s="22"/>
      <c r="R35" s="23"/>
      <c r="S35" s="23"/>
      <c r="T35" s="23"/>
      <c r="U35" s="22"/>
      <c r="V35" s="22"/>
      <c r="W35" s="22"/>
      <c r="X35" s="22"/>
      <c r="Y35" s="22"/>
      <c r="Z35" s="22"/>
      <c r="AA35" s="39"/>
      <c r="AB35" s="39"/>
      <c r="AC35" s="39"/>
    </row>
    <row r="36" spans="1:29" s="8" customFormat="1" x14ac:dyDescent="0.3">
      <c r="A36" s="4"/>
      <c r="B36" s="19">
        <v>11</v>
      </c>
      <c r="C36" s="20" t="s">
        <v>505</v>
      </c>
      <c r="D36" s="21" t="s">
        <v>495</v>
      </c>
      <c r="E36" s="22"/>
      <c r="F36" s="22"/>
      <c r="G36" s="22"/>
      <c r="H36" s="22"/>
      <c r="I36" s="22"/>
      <c r="J36" s="22"/>
      <c r="K36" s="22"/>
      <c r="L36" s="22"/>
      <c r="M36" s="22"/>
      <c r="N36" s="22"/>
      <c r="O36" s="22"/>
      <c r="P36" s="22"/>
      <c r="Q36" s="22"/>
      <c r="R36" s="23"/>
      <c r="S36" s="23"/>
      <c r="T36" s="23"/>
      <c r="U36" s="22"/>
      <c r="V36" s="22"/>
      <c r="W36" s="22"/>
      <c r="X36" s="22"/>
      <c r="Y36" s="22"/>
      <c r="Z36" s="22"/>
      <c r="AA36" s="39"/>
      <c r="AB36" s="39"/>
      <c r="AC36" s="39"/>
    </row>
    <row r="37" spans="1:29" s="8" customFormat="1" x14ac:dyDescent="0.3">
      <c r="A37" s="4"/>
      <c r="B37" s="19">
        <v>12</v>
      </c>
      <c r="C37" s="20" t="s">
        <v>506</v>
      </c>
      <c r="D37" s="21" t="s">
        <v>495</v>
      </c>
      <c r="E37" s="22"/>
      <c r="F37" s="22"/>
      <c r="G37" s="22"/>
      <c r="H37" s="22"/>
      <c r="I37" s="22"/>
      <c r="J37" s="22"/>
      <c r="K37" s="22"/>
      <c r="L37" s="22"/>
      <c r="M37" s="22"/>
      <c r="N37" s="22"/>
      <c r="O37" s="22"/>
      <c r="P37" s="22"/>
      <c r="Q37" s="22"/>
      <c r="R37" s="23"/>
      <c r="S37" s="23"/>
      <c r="T37" s="23"/>
      <c r="U37" s="22"/>
      <c r="V37" s="22"/>
      <c r="W37" s="22"/>
      <c r="X37" s="22"/>
      <c r="Y37" s="22"/>
      <c r="Z37" s="22"/>
      <c r="AA37" s="39"/>
      <c r="AB37" s="39"/>
      <c r="AC37" s="39"/>
    </row>
    <row r="38" spans="1:29" s="8" customFormat="1" x14ac:dyDescent="0.3">
      <c r="A38" s="4">
        <v>3</v>
      </c>
      <c r="B38" s="129" t="s">
        <v>510</v>
      </c>
      <c r="C38" s="129"/>
      <c r="D38" s="130"/>
      <c r="E38" s="131"/>
      <c r="F38" s="131"/>
      <c r="G38" s="131"/>
      <c r="H38" s="131"/>
      <c r="I38" s="131"/>
      <c r="J38" s="131"/>
      <c r="K38" s="131"/>
      <c r="L38" s="131"/>
      <c r="M38" s="131"/>
      <c r="N38" s="131"/>
      <c r="O38" s="131"/>
      <c r="P38" s="131"/>
      <c r="Q38" s="131"/>
      <c r="R38" s="132"/>
      <c r="S38" s="132"/>
      <c r="T38" s="132"/>
      <c r="U38" s="131"/>
      <c r="V38" s="131"/>
      <c r="W38" s="131"/>
      <c r="X38" s="131"/>
      <c r="Y38" s="131"/>
      <c r="Z38" s="131"/>
      <c r="AA38" s="133"/>
      <c r="AB38" s="133"/>
      <c r="AC38" s="133"/>
    </row>
    <row r="39" spans="1:29" s="8" customFormat="1" x14ac:dyDescent="0.3">
      <c r="A39" s="4"/>
      <c r="B39" s="19">
        <v>1</v>
      </c>
      <c r="C39" s="20" t="s">
        <v>507</v>
      </c>
      <c r="D39" s="21"/>
      <c r="E39" s="22"/>
      <c r="F39" s="22"/>
      <c r="G39" s="22"/>
      <c r="H39" s="22"/>
      <c r="I39" s="22"/>
      <c r="J39" s="22"/>
      <c r="K39" s="22"/>
      <c r="L39" s="22"/>
      <c r="M39" s="22"/>
      <c r="N39" s="22"/>
      <c r="O39" s="22"/>
      <c r="P39" s="22"/>
      <c r="Q39" s="22"/>
      <c r="R39" s="23"/>
      <c r="S39" s="23"/>
      <c r="T39" s="23"/>
      <c r="U39" s="22"/>
      <c r="V39" s="22"/>
      <c r="W39" s="22"/>
      <c r="X39" s="22"/>
      <c r="Y39" s="22"/>
      <c r="Z39" s="22"/>
      <c r="AA39" s="39"/>
      <c r="AB39" s="39"/>
      <c r="AC39" s="39"/>
    </row>
    <row r="40" spans="1:29" s="8" customFormat="1" x14ac:dyDescent="0.3">
      <c r="A40" s="4"/>
      <c r="B40" s="19">
        <v>2</v>
      </c>
      <c r="C40" s="20" t="s">
        <v>508</v>
      </c>
      <c r="D40" s="21"/>
      <c r="E40" s="22"/>
      <c r="F40" s="22"/>
      <c r="G40" s="22"/>
      <c r="H40" s="22"/>
      <c r="I40" s="22"/>
      <c r="J40" s="22"/>
      <c r="K40" s="22"/>
      <c r="L40" s="22"/>
      <c r="M40" s="22"/>
      <c r="N40" s="22"/>
      <c r="O40" s="22"/>
      <c r="P40" s="22"/>
      <c r="Q40" s="22"/>
      <c r="R40" s="23"/>
      <c r="S40" s="23"/>
      <c r="T40" s="23"/>
      <c r="U40" s="22"/>
      <c r="V40" s="22"/>
      <c r="W40" s="22"/>
      <c r="X40" s="22"/>
      <c r="Y40" s="22"/>
      <c r="Z40" s="22"/>
      <c r="AA40" s="39"/>
      <c r="AB40" s="39"/>
      <c r="AC40" s="39"/>
    </row>
    <row r="41" spans="1:29" s="8" customFormat="1" x14ac:dyDescent="0.3">
      <c r="A41" s="4"/>
      <c r="B41" s="19">
        <v>3</v>
      </c>
      <c r="C41" s="20" t="s">
        <v>509</v>
      </c>
      <c r="D41" s="21"/>
      <c r="E41" s="22"/>
      <c r="F41" s="22"/>
      <c r="G41" s="22"/>
      <c r="H41" s="22"/>
      <c r="I41" s="22"/>
      <c r="J41" s="22"/>
      <c r="K41" s="22"/>
      <c r="L41" s="22"/>
      <c r="M41" s="22"/>
      <c r="N41" s="22"/>
      <c r="O41" s="22"/>
      <c r="P41" s="22"/>
      <c r="Q41" s="22"/>
      <c r="R41" s="23"/>
      <c r="S41" s="23"/>
      <c r="T41" s="23"/>
      <c r="U41" s="22"/>
      <c r="V41" s="22"/>
      <c r="W41" s="22"/>
      <c r="X41" s="22"/>
      <c r="Y41" s="22"/>
      <c r="Z41" s="22"/>
      <c r="AA41" s="39"/>
      <c r="AB41" s="39"/>
      <c r="AC41" s="39"/>
    </row>
    <row r="42" spans="1:29" s="8" customFormat="1" ht="23.95" customHeight="1" x14ac:dyDescent="0.3">
      <c r="A42" s="4">
        <v>4</v>
      </c>
      <c r="B42" s="56" t="s">
        <v>191</v>
      </c>
      <c r="C42" s="57"/>
      <c r="D42" s="58"/>
      <c r="E42" s="58"/>
      <c r="F42" s="58"/>
      <c r="G42" s="58"/>
      <c r="H42" s="58"/>
      <c r="I42" s="58"/>
      <c r="J42" s="58"/>
      <c r="K42" s="58"/>
      <c r="L42" s="58"/>
      <c r="M42" s="58"/>
      <c r="N42" s="58"/>
      <c r="O42" s="113"/>
      <c r="P42" s="58"/>
      <c r="Q42" s="58"/>
      <c r="R42" s="60"/>
      <c r="S42" s="60"/>
      <c r="T42" s="60"/>
      <c r="U42" s="113"/>
      <c r="V42" s="58"/>
      <c r="W42" s="113"/>
      <c r="X42" s="113"/>
      <c r="Y42" s="58"/>
      <c r="Z42" s="61"/>
      <c r="AA42" s="114"/>
      <c r="AB42" s="114"/>
      <c r="AC42" s="114"/>
    </row>
    <row r="43" spans="1:29" s="8" customFormat="1" x14ac:dyDescent="0.3">
      <c r="A43" s="4"/>
      <c r="B43" s="19">
        <v>1</v>
      </c>
      <c r="C43" s="20" t="s">
        <v>193</v>
      </c>
      <c r="D43" s="21" t="s">
        <v>194</v>
      </c>
      <c r="E43" s="22" t="s">
        <v>195</v>
      </c>
      <c r="F43" s="22">
        <v>6700</v>
      </c>
      <c r="G43" s="23">
        <v>6458</v>
      </c>
      <c r="H43" s="23">
        <v>6458</v>
      </c>
      <c r="I43" s="22" t="s">
        <v>196</v>
      </c>
      <c r="J43" s="62" t="s">
        <v>197</v>
      </c>
      <c r="K43" s="62">
        <v>7200</v>
      </c>
      <c r="L43" s="62">
        <v>10000</v>
      </c>
      <c r="M43" s="62">
        <f>356000/2/24</f>
        <v>7416.666666666667</v>
      </c>
      <c r="N43" s="62">
        <f>152000/24</f>
        <v>6333.333333333333</v>
      </c>
      <c r="O43" s="62">
        <v>10833</v>
      </c>
      <c r="P43" s="62">
        <f>610000/3/24</f>
        <v>8472.2222222222226</v>
      </c>
      <c r="Q43" s="62">
        <f>830000/4/24</f>
        <v>8645.8333333333339</v>
      </c>
      <c r="R43" s="63">
        <f>300000/2/24</f>
        <v>6250</v>
      </c>
      <c r="S43" s="63">
        <f>135000/24</f>
        <v>5625</v>
      </c>
      <c r="T43" s="63">
        <f>201000/24</f>
        <v>8375</v>
      </c>
      <c r="U43" s="62">
        <f>150000/24</f>
        <v>6250</v>
      </c>
      <c r="V43" s="22">
        <v>6250</v>
      </c>
      <c r="W43" s="62">
        <v>4688</v>
      </c>
      <c r="X43" s="62">
        <v>5833</v>
      </c>
      <c r="Y43" s="62">
        <v>6000</v>
      </c>
      <c r="Z43" s="62">
        <v>6900</v>
      </c>
      <c r="AA43" s="47"/>
      <c r="AB43" s="47"/>
      <c r="AC43" s="47"/>
    </row>
    <row r="44" spans="1:29" s="8" customFormat="1" ht="32.6" x14ac:dyDescent="0.25">
      <c r="A44" s="4"/>
      <c r="B44" s="19">
        <v>2</v>
      </c>
      <c r="C44" s="20" t="s">
        <v>200</v>
      </c>
      <c r="D44" s="21" t="s">
        <v>201</v>
      </c>
      <c r="E44" s="22" t="s">
        <v>4</v>
      </c>
      <c r="F44" s="22" t="s">
        <v>202</v>
      </c>
      <c r="G44" s="23" t="s">
        <v>203</v>
      </c>
      <c r="H44" s="23" t="s">
        <v>203</v>
      </c>
      <c r="I44" s="22" t="s">
        <v>204</v>
      </c>
      <c r="J44" s="22" t="s">
        <v>205</v>
      </c>
      <c r="K44" s="22" t="s">
        <v>206</v>
      </c>
      <c r="L44" s="22" t="s">
        <v>207</v>
      </c>
      <c r="M44" s="22" t="s">
        <v>208</v>
      </c>
      <c r="N44" s="22" t="s">
        <v>209</v>
      </c>
      <c r="O44" s="22" t="s">
        <v>210</v>
      </c>
      <c r="P44" s="22" t="s">
        <v>211</v>
      </c>
      <c r="Q44" s="22" t="s">
        <v>212</v>
      </c>
      <c r="R44" s="23" t="s">
        <v>213</v>
      </c>
      <c r="S44" s="23" t="s">
        <v>213</v>
      </c>
      <c r="T44" s="23" t="s">
        <v>579</v>
      </c>
      <c r="U44" s="22" t="s">
        <v>214</v>
      </c>
      <c r="V44" s="22" t="s">
        <v>208</v>
      </c>
      <c r="W44" s="22" t="s">
        <v>215</v>
      </c>
      <c r="X44" s="62" t="s">
        <v>216</v>
      </c>
      <c r="Y44" s="22" t="s">
        <v>217</v>
      </c>
      <c r="Z44" s="22" t="s">
        <v>217</v>
      </c>
      <c r="AA44" s="51" t="s">
        <v>198</v>
      </c>
      <c r="AB44" s="51" t="s">
        <v>199</v>
      </c>
      <c r="AC44" s="51" t="s">
        <v>199</v>
      </c>
    </row>
    <row r="45" spans="1:29" s="8" customFormat="1" x14ac:dyDescent="0.25">
      <c r="A45" s="4"/>
      <c r="B45" s="19">
        <v>3</v>
      </c>
      <c r="C45" s="20" t="s">
        <v>618</v>
      </c>
      <c r="D45" s="21"/>
      <c r="E45" s="22"/>
      <c r="F45" s="22"/>
      <c r="G45" s="23"/>
      <c r="H45" s="23"/>
      <c r="I45" s="22"/>
      <c r="J45" s="22"/>
      <c r="K45" s="22"/>
      <c r="L45" s="22"/>
      <c r="M45" s="22"/>
      <c r="N45" s="22"/>
      <c r="O45" s="22"/>
      <c r="P45" s="22"/>
      <c r="Q45" s="22"/>
      <c r="R45" s="23"/>
      <c r="S45" s="23"/>
      <c r="T45" s="23"/>
      <c r="U45" s="22"/>
      <c r="V45" s="22"/>
      <c r="W45" s="22"/>
      <c r="X45" s="62"/>
      <c r="Y45" s="22"/>
      <c r="Z45" s="22"/>
      <c r="AA45" s="51"/>
      <c r="AB45" s="51"/>
      <c r="AC45" s="51"/>
    </row>
    <row r="46" spans="1:29" s="8" customFormat="1" ht="48.9" x14ac:dyDescent="0.25">
      <c r="A46" s="4"/>
      <c r="B46" s="19">
        <v>4</v>
      </c>
      <c r="C46" s="20" t="s">
        <v>218</v>
      </c>
      <c r="D46" s="21" t="s">
        <v>201</v>
      </c>
      <c r="E46" s="65" t="s">
        <v>4</v>
      </c>
      <c r="F46" s="22" t="s">
        <v>219</v>
      </c>
      <c r="G46" s="23" t="s">
        <v>220</v>
      </c>
      <c r="H46" s="23" t="s">
        <v>220</v>
      </c>
      <c r="I46" s="22" t="s">
        <v>221</v>
      </c>
      <c r="J46" s="22" t="s">
        <v>222</v>
      </c>
      <c r="K46" s="22" t="s">
        <v>223</v>
      </c>
      <c r="L46" s="22" t="s">
        <v>224</v>
      </c>
      <c r="M46" s="22" t="s">
        <v>225</v>
      </c>
      <c r="N46" s="22" t="s">
        <v>180</v>
      </c>
      <c r="O46" s="22" t="s">
        <v>122</v>
      </c>
      <c r="P46" s="22" t="s">
        <v>226</v>
      </c>
      <c r="Q46" s="22" t="s">
        <v>227</v>
      </c>
      <c r="R46" s="23" t="s">
        <v>228</v>
      </c>
      <c r="S46" s="23" t="s">
        <v>229</v>
      </c>
      <c r="T46" s="23" t="s">
        <v>180</v>
      </c>
      <c r="U46" s="22" t="s">
        <v>230</v>
      </c>
      <c r="V46" s="22" t="s">
        <v>231</v>
      </c>
      <c r="W46" s="22" t="s">
        <v>232</v>
      </c>
      <c r="X46" s="22" t="s">
        <v>233</v>
      </c>
      <c r="Y46" s="22" t="s">
        <v>234</v>
      </c>
      <c r="Z46" s="22" t="s">
        <v>234</v>
      </c>
      <c r="AA46" s="51" t="s">
        <v>144</v>
      </c>
      <c r="AB46" s="51" t="s">
        <v>145</v>
      </c>
      <c r="AC46" s="51" t="s">
        <v>146</v>
      </c>
    </row>
    <row r="47" spans="1:29" s="8" customFormat="1" ht="48.9" x14ac:dyDescent="0.3">
      <c r="A47" s="4"/>
      <c r="B47" s="19">
        <v>5</v>
      </c>
      <c r="C47" s="20" t="s">
        <v>235</v>
      </c>
      <c r="D47" s="21" t="s">
        <v>201</v>
      </c>
      <c r="E47" s="22" t="s">
        <v>4</v>
      </c>
      <c r="F47" s="22" t="s">
        <v>236</v>
      </c>
      <c r="G47" s="23" t="s">
        <v>237</v>
      </c>
      <c r="H47" s="23" t="s">
        <v>237</v>
      </c>
      <c r="I47" s="22" t="s">
        <v>238</v>
      </c>
      <c r="J47" s="22" t="s">
        <v>239</v>
      </c>
      <c r="K47" s="22" t="s">
        <v>240</v>
      </c>
      <c r="L47" s="22" t="s">
        <v>241</v>
      </c>
      <c r="M47" s="22" t="s">
        <v>239</v>
      </c>
      <c r="N47" s="22" t="s">
        <v>239</v>
      </c>
      <c r="O47" s="22" t="s">
        <v>242</v>
      </c>
      <c r="P47" s="22" t="s">
        <v>243</v>
      </c>
      <c r="Q47" s="22" t="s">
        <v>244</v>
      </c>
      <c r="R47" s="23" t="s">
        <v>245</v>
      </c>
      <c r="S47" s="23" t="s">
        <v>239</v>
      </c>
      <c r="T47" s="23" t="s">
        <v>239</v>
      </c>
      <c r="U47" s="22" t="s">
        <v>246</v>
      </c>
      <c r="V47" s="22" t="s">
        <v>247</v>
      </c>
      <c r="W47" s="22" t="s">
        <v>239</v>
      </c>
      <c r="X47" s="22" t="s">
        <v>248</v>
      </c>
      <c r="Y47" s="22" t="s">
        <v>249</v>
      </c>
      <c r="Z47" s="22" t="s">
        <v>249</v>
      </c>
      <c r="AA47" s="28" t="s">
        <v>161</v>
      </c>
      <c r="AB47" s="28" t="s">
        <v>161</v>
      </c>
      <c r="AC47" s="28" t="s">
        <v>161</v>
      </c>
    </row>
    <row r="48" spans="1:29" s="8" customFormat="1" x14ac:dyDescent="0.25">
      <c r="A48" s="4"/>
      <c r="B48" s="19">
        <v>6</v>
      </c>
      <c r="C48" s="20" t="s">
        <v>250</v>
      </c>
      <c r="D48" s="21" t="s">
        <v>251</v>
      </c>
      <c r="E48" s="22" t="s">
        <v>4</v>
      </c>
      <c r="F48" s="22" t="s">
        <v>4</v>
      </c>
      <c r="G48" s="23" t="s">
        <v>252</v>
      </c>
      <c r="H48" s="23" t="s">
        <v>252</v>
      </c>
      <c r="I48" s="22" t="s">
        <v>4</v>
      </c>
      <c r="J48" s="22">
        <v>21</v>
      </c>
      <c r="K48" s="22" t="s">
        <v>253</v>
      </c>
      <c r="L48" s="22" t="s">
        <v>4</v>
      </c>
      <c r="M48" s="22">
        <v>15</v>
      </c>
      <c r="N48" s="22">
        <v>21</v>
      </c>
      <c r="O48" s="54"/>
      <c r="P48" s="22"/>
      <c r="Q48" s="22"/>
      <c r="R48" s="23">
        <v>7</v>
      </c>
      <c r="S48" s="23">
        <v>7</v>
      </c>
      <c r="T48" s="23">
        <v>21</v>
      </c>
      <c r="U48" s="22" t="s">
        <v>254</v>
      </c>
      <c r="V48" s="22">
        <v>14</v>
      </c>
      <c r="W48" s="55">
        <v>120</v>
      </c>
      <c r="X48" s="22">
        <v>7</v>
      </c>
      <c r="Y48" s="22">
        <v>15</v>
      </c>
      <c r="Z48" s="22">
        <v>15</v>
      </c>
    </row>
    <row r="49" spans="1:29" s="8" customFormat="1" ht="32.6" x14ac:dyDescent="0.25">
      <c r="A49" s="4"/>
      <c r="B49" s="19">
        <v>7</v>
      </c>
      <c r="C49" s="20" t="s">
        <v>255</v>
      </c>
      <c r="D49" s="21" t="s">
        <v>251</v>
      </c>
      <c r="E49" s="22" t="s">
        <v>4</v>
      </c>
      <c r="F49" s="22" t="s">
        <v>256</v>
      </c>
      <c r="G49" s="23" t="s">
        <v>257</v>
      </c>
      <c r="H49" s="23" t="s">
        <v>258</v>
      </c>
      <c r="I49" s="22" t="s">
        <v>259</v>
      </c>
      <c r="J49" s="22">
        <v>15</v>
      </c>
      <c r="K49" s="22" t="s">
        <v>256</v>
      </c>
      <c r="L49" s="22" t="s">
        <v>260</v>
      </c>
      <c r="M49" s="22" t="s">
        <v>127</v>
      </c>
      <c r="N49" s="22" t="s">
        <v>127</v>
      </c>
      <c r="O49" s="22">
        <v>7</v>
      </c>
      <c r="P49" s="22" t="s">
        <v>261</v>
      </c>
      <c r="Q49" s="22" t="s">
        <v>261</v>
      </c>
      <c r="R49" s="23">
        <v>15</v>
      </c>
      <c r="S49" s="23">
        <v>15</v>
      </c>
      <c r="T49" s="23">
        <v>15</v>
      </c>
      <c r="U49" s="22" t="s">
        <v>182</v>
      </c>
      <c r="V49" s="22" t="s">
        <v>262</v>
      </c>
      <c r="W49" s="22" t="s">
        <v>263</v>
      </c>
      <c r="X49" s="65">
        <v>180</v>
      </c>
      <c r="Y49" s="22" t="s">
        <v>264</v>
      </c>
      <c r="Z49" s="22" t="s">
        <v>264</v>
      </c>
    </row>
    <row r="50" spans="1:29" s="8" customFormat="1" ht="65.25" x14ac:dyDescent="0.25">
      <c r="A50" s="4"/>
      <c r="B50" s="189">
        <v>8</v>
      </c>
      <c r="C50" s="187" t="s">
        <v>147</v>
      </c>
      <c r="D50" s="21" t="s">
        <v>163</v>
      </c>
      <c r="E50" s="66" t="s">
        <v>4</v>
      </c>
      <c r="F50" s="66" t="s">
        <v>265</v>
      </c>
      <c r="G50" s="66" t="s">
        <v>266</v>
      </c>
      <c r="H50" s="22" t="s">
        <v>266</v>
      </c>
      <c r="I50" s="22" t="s">
        <v>221</v>
      </c>
      <c r="J50" s="22" t="s">
        <v>267</v>
      </c>
      <c r="K50" s="22" t="s">
        <v>267</v>
      </c>
      <c r="L50" s="22" t="s">
        <v>267</v>
      </c>
      <c r="M50" s="22" t="s">
        <v>267</v>
      </c>
      <c r="N50" s="22" t="s">
        <v>267</v>
      </c>
      <c r="O50" s="65" t="s">
        <v>201</v>
      </c>
      <c r="P50" s="22" t="s">
        <v>268</v>
      </c>
      <c r="Q50" s="22" t="s">
        <v>268</v>
      </c>
      <c r="R50" s="23" t="s">
        <v>269</v>
      </c>
      <c r="S50" s="23" t="s">
        <v>269</v>
      </c>
      <c r="T50" s="23" t="s">
        <v>269</v>
      </c>
      <c r="U50" s="22" t="s">
        <v>267</v>
      </c>
      <c r="V50" s="22" t="s">
        <v>267</v>
      </c>
      <c r="W50" s="22" t="s">
        <v>267</v>
      </c>
      <c r="X50" s="65" t="s">
        <v>270</v>
      </c>
      <c r="Y50" s="22" t="s">
        <v>267</v>
      </c>
      <c r="Z50" s="22" t="s">
        <v>267</v>
      </c>
    </row>
    <row r="51" spans="1:29" s="8" customFormat="1" x14ac:dyDescent="0.25">
      <c r="A51" s="4"/>
      <c r="B51" s="190"/>
      <c r="C51" s="188"/>
      <c r="D51" s="21" t="s">
        <v>271</v>
      </c>
      <c r="E51" s="66" t="s">
        <v>4</v>
      </c>
      <c r="F51" s="66" t="s">
        <v>4</v>
      </c>
      <c r="G51" s="67" t="s">
        <v>252</v>
      </c>
      <c r="H51" s="67" t="s">
        <v>252</v>
      </c>
      <c r="I51" s="22" t="s">
        <v>272</v>
      </c>
      <c r="J51" s="22" t="s">
        <v>4</v>
      </c>
      <c r="K51" s="22" t="s">
        <v>273</v>
      </c>
      <c r="L51" s="22" t="s">
        <v>273</v>
      </c>
      <c r="M51" s="22" t="s">
        <v>4</v>
      </c>
      <c r="N51" s="22" t="s">
        <v>274</v>
      </c>
      <c r="O51" s="65" t="s">
        <v>201</v>
      </c>
      <c r="P51" s="22"/>
      <c r="Q51" s="22" t="s">
        <v>275</v>
      </c>
      <c r="R51" s="23" t="s">
        <v>276</v>
      </c>
      <c r="S51" s="23" t="s">
        <v>276</v>
      </c>
      <c r="T51" s="23" t="s">
        <v>277</v>
      </c>
      <c r="U51" s="22" t="s">
        <v>278</v>
      </c>
      <c r="V51" s="22"/>
      <c r="W51" s="22" t="s">
        <v>273</v>
      </c>
      <c r="X51" s="65" t="s">
        <v>279</v>
      </c>
      <c r="Y51" s="22" t="s">
        <v>220</v>
      </c>
      <c r="Z51" s="22" t="s">
        <v>220</v>
      </c>
    </row>
    <row r="52" spans="1:29" s="8" customFormat="1" ht="35.5" customHeight="1" collapsed="1" x14ac:dyDescent="0.25">
      <c r="A52" s="4">
        <f>A42+1</f>
        <v>5</v>
      </c>
      <c r="B52" s="56" t="s">
        <v>280</v>
      </c>
      <c r="C52" s="57"/>
      <c r="D52" s="58"/>
      <c r="E52" s="58"/>
      <c r="F52" s="58"/>
      <c r="G52" s="58"/>
      <c r="H52" s="58"/>
      <c r="I52" s="58"/>
      <c r="J52" s="58"/>
      <c r="K52" s="58"/>
      <c r="L52" s="58"/>
      <c r="M52" s="58"/>
      <c r="N52" s="58"/>
      <c r="O52" s="68" t="s">
        <v>201</v>
      </c>
      <c r="P52" s="58"/>
      <c r="Q52" s="58"/>
      <c r="R52" s="60"/>
      <c r="S52" s="60"/>
      <c r="T52" s="60"/>
      <c r="U52" s="59" t="s">
        <v>281</v>
      </c>
      <c r="V52" s="58"/>
      <c r="W52" s="68" t="s">
        <v>201</v>
      </c>
      <c r="X52" s="59"/>
      <c r="Y52" s="58"/>
      <c r="Z52" s="61"/>
    </row>
    <row r="53" spans="1:29" s="8" customFormat="1" x14ac:dyDescent="0.25">
      <c r="A53" s="4"/>
      <c r="B53" s="189">
        <v>1</v>
      </c>
      <c r="C53" s="187" t="s">
        <v>282</v>
      </c>
      <c r="D53" s="21" t="s">
        <v>483</v>
      </c>
      <c r="E53" s="22"/>
      <c r="F53" s="22"/>
      <c r="G53" s="23"/>
      <c r="H53" s="23"/>
      <c r="I53" s="22">
        <v>98</v>
      </c>
      <c r="J53" s="22">
        <v>98</v>
      </c>
      <c r="K53" s="22" t="s">
        <v>283</v>
      </c>
      <c r="L53" s="22" t="s">
        <v>283</v>
      </c>
      <c r="M53" s="22">
        <v>98</v>
      </c>
      <c r="N53" s="22">
        <v>98</v>
      </c>
      <c r="O53" s="22">
        <v>98</v>
      </c>
      <c r="P53" s="22"/>
      <c r="Q53" s="22"/>
      <c r="R53" s="23">
        <v>98</v>
      </c>
      <c r="S53" s="23">
        <v>98</v>
      </c>
      <c r="T53" s="23">
        <v>98</v>
      </c>
      <c r="U53" s="22">
        <v>90</v>
      </c>
      <c r="V53" s="22">
        <v>82</v>
      </c>
      <c r="W53" s="55" t="s">
        <v>283</v>
      </c>
      <c r="X53" s="22" t="s">
        <v>284</v>
      </c>
      <c r="Y53" s="22"/>
      <c r="Z53" s="22">
        <v>92</v>
      </c>
    </row>
    <row r="54" spans="1:29" s="8" customFormat="1" ht="32.6" x14ac:dyDescent="0.3">
      <c r="A54" s="4"/>
      <c r="B54" s="190"/>
      <c r="C54" s="188"/>
      <c r="D54" s="21" t="s">
        <v>285</v>
      </c>
      <c r="E54" s="22"/>
      <c r="F54" s="22" t="s">
        <v>286</v>
      </c>
      <c r="G54" s="23" t="s">
        <v>287</v>
      </c>
      <c r="H54" s="23" t="s">
        <v>287</v>
      </c>
      <c r="I54" s="22" t="s">
        <v>287</v>
      </c>
      <c r="J54" s="22" t="s">
        <v>180</v>
      </c>
      <c r="K54" s="22" t="s">
        <v>273</v>
      </c>
      <c r="L54" s="22" t="s">
        <v>273</v>
      </c>
      <c r="M54" s="22" t="s">
        <v>287</v>
      </c>
      <c r="N54" s="22" t="s">
        <v>287</v>
      </c>
      <c r="O54" s="22" t="s">
        <v>288</v>
      </c>
      <c r="P54" s="22" t="s">
        <v>273</v>
      </c>
      <c r="Q54" s="22" t="s">
        <v>289</v>
      </c>
      <c r="R54" s="23" t="s">
        <v>290</v>
      </c>
      <c r="S54" s="23" t="s">
        <v>291</v>
      </c>
      <c r="T54" s="23" t="s">
        <v>292</v>
      </c>
      <c r="U54" s="22" t="s">
        <v>293</v>
      </c>
      <c r="V54" s="22" t="s">
        <v>287</v>
      </c>
      <c r="W54" s="22" t="s">
        <v>294</v>
      </c>
      <c r="X54" s="22" t="s">
        <v>287</v>
      </c>
      <c r="Y54" s="22">
        <v>90</v>
      </c>
      <c r="Z54" s="22">
        <v>90</v>
      </c>
      <c r="AA54" s="64"/>
      <c r="AB54" s="64"/>
      <c r="AC54" s="64"/>
    </row>
    <row r="55" spans="1:29" s="8" customFormat="1" x14ac:dyDescent="0.3">
      <c r="A55" s="4"/>
      <c r="B55" s="19">
        <v>2</v>
      </c>
      <c r="C55" s="20" t="s">
        <v>295</v>
      </c>
      <c r="D55" s="21" t="s">
        <v>251</v>
      </c>
      <c r="E55" s="22"/>
      <c r="F55" s="22">
        <v>0</v>
      </c>
      <c r="G55" s="23" t="s">
        <v>296</v>
      </c>
      <c r="H55" s="23"/>
      <c r="I55" s="22" t="s">
        <v>297</v>
      </c>
      <c r="J55" s="22" t="s">
        <v>296</v>
      </c>
      <c r="K55" s="22" t="s">
        <v>296</v>
      </c>
      <c r="L55" s="22" t="s">
        <v>296</v>
      </c>
      <c r="M55" s="22" t="s">
        <v>296</v>
      </c>
      <c r="N55" s="22" t="s">
        <v>298</v>
      </c>
      <c r="O55" s="22" t="s">
        <v>298</v>
      </c>
      <c r="P55" s="22" t="s">
        <v>286</v>
      </c>
      <c r="Q55" s="22" t="s">
        <v>286</v>
      </c>
      <c r="R55" s="23" t="s">
        <v>296</v>
      </c>
      <c r="S55" s="23" t="s">
        <v>298</v>
      </c>
      <c r="T55" s="23" t="s">
        <v>298</v>
      </c>
      <c r="U55" s="22" t="s">
        <v>201</v>
      </c>
      <c r="V55" s="22">
        <v>3</v>
      </c>
      <c r="W55" s="22" t="s">
        <v>298</v>
      </c>
      <c r="X55" s="65" t="s">
        <v>201</v>
      </c>
      <c r="Y55" s="22" t="s">
        <v>299</v>
      </c>
      <c r="Z55" s="22" t="s">
        <v>299</v>
      </c>
      <c r="AA55" s="64"/>
      <c r="AB55" s="64"/>
      <c r="AC55" s="64"/>
    </row>
    <row r="56" spans="1:29" s="8" customFormat="1" x14ac:dyDescent="0.3">
      <c r="A56" s="4"/>
      <c r="B56" s="19">
        <v>3</v>
      </c>
      <c r="C56" s="20" t="s">
        <v>300</v>
      </c>
      <c r="D56" s="21" t="s">
        <v>251</v>
      </c>
      <c r="E56" s="22">
        <v>30</v>
      </c>
      <c r="F56" s="22">
        <v>120</v>
      </c>
      <c r="G56" s="23" t="s">
        <v>301</v>
      </c>
      <c r="H56" s="23" t="s">
        <v>301</v>
      </c>
      <c r="I56" s="22">
        <v>365</v>
      </c>
      <c r="J56" s="22">
        <v>365</v>
      </c>
      <c r="K56" s="22">
        <v>120</v>
      </c>
      <c r="L56" s="22">
        <v>120</v>
      </c>
      <c r="M56" s="22">
        <v>365</v>
      </c>
      <c r="N56" s="22">
        <v>365</v>
      </c>
      <c r="O56" s="22">
        <v>30</v>
      </c>
      <c r="P56" s="22" t="s">
        <v>302</v>
      </c>
      <c r="Q56" s="22" t="s">
        <v>303</v>
      </c>
      <c r="R56" s="23">
        <v>90</v>
      </c>
      <c r="S56" s="23">
        <v>90</v>
      </c>
      <c r="T56" s="23">
        <v>60</v>
      </c>
      <c r="U56" s="22">
        <v>300</v>
      </c>
      <c r="V56" s="22">
        <v>365</v>
      </c>
      <c r="W56" s="22">
        <v>730</v>
      </c>
      <c r="X56" s="22">
        <v>365</v>
      </c>
      <c r="Y56" s="22">
        <v>365</v>
      </c>
      <c r="Z56" s="22">
        <v>270</v>
      </c>
      <c r="AA56" s="25">
        <v>9000</v>
      </c>
      <c r="AB56" s="25">
        <v>5575</v>
      </c>
      <c r="AC56" s="25">
        <v>5713</v>
      </c>
    </row>
    <row r="57" spans="1:29" s="8" customFormat="1" x14ac:dyDescent="0.3">
      <c r="A57" s="4"/>
      <c r="B57" s="19">
        <v>4</v>
      </c>
      <c r="C57" s="20" t="s">
        <v>304</v>
      </c>
      <c r="D57" s="21" t="s">
        <v>251</v>
      </c>
      <c r="E57" s="22">
        <v>150</v>
      </c>
      <c r="F57" s="22">
        <v>180</v>
      </c>
      <c r="G57" s="23" t="s">
        <v>301</v>
      </c>
      <c r="H57" s="23" t="s">
        <v>301</v>
      </c>
      <c r="I57" s="22">
        <v>365</v>
      </c>
      <c r="J57" s="22">
        <v>90</v>
      </c>
      <c r="K57" s="22">
        <v>120</v>
      </c>
      <c r="L57" s="22">
        <v>120</v>
      </c>
      <c r="M57" s="22">
        <v>365</v>
      </c>
      <c r="N57" s="22">
        <v>365</v>
      </c>
      <c r="O57" s="22">
        <v>180</v>
      </c>
      <c r="P57" s="22" t="s">
        <v>302</v>
      </c>
      <c r="Q57" s="22">
        <v>150</v>
      </c>
      <c r="R57" s="23">
        <v>90</v>
      </c>
      <c r="S57" s="23">
        <v>90</v>
      </c>
      <c r="T57" s="23">
        <v>60</v>
      </c>
      <c r="U57" s="22">
        <v>300</v>
      </c>
      <c r="V57" s="22">
        <v>365</v>
      </c>
      <c r="W57" s="22">
        <v>365</v>
      </c>
      <c r="X57" s="22">
        <v>365</v>
      </c>
      <c r="Y57" s="22">
        <v>365</v>
      </c>
      <c r="Z57" s="22">
        <v>270</v>
      </c>
      <c r="AA57" s="64"/>
      <c r="AB57" s="64"/>
      <c r="AC57" s="64"/>
    </row>
    <row r="58" spans="1:29" s="8" customFormat="1" x14ac:dyDescent="0.3">
      <c r="A58" s="4"/>
      <c r="B58" s="19">
        <v>5</v>
      </c>
      <c r="C58" s="20" t="s">
        <v>305</v>
      </c>
      <c r="D58" s="21" t="s">
        <v>251</v>
      </c>
      <c r="E58" s="22">
        <v>150</v>
      </c>
      <c r="F58" s="22">
        <v>180</v>
      </c>
      <c r="G58" s="23" t="s">
        <v>306</v>
      </c>
      <c r="H58" s="23" t="s">
        <v>306</v>
      </c>
      <c r="I58" s="22">
        <v>180</v>
      </c>
      <c r="J58" s="22">
        <v>90</v>
      </c>
      <c r="K58" s="22">
        <v>120</v>
      </c>
      <c r="L58" s="22">
        <v>120</v>
      </c>
      <c r="M58" s="22">
        <v>150</v>
      </c>
      <c r="N58" s="22">
        <v>180</v>
      </c>
      <c r="O58" s="22">
        <v>180</v>
      </c>
      <c r="P58" s="22" t="s">
        <v>302</v>
      </c>
      <c r="Q58" s="22">
        <v>150</v>
      </c>
      <c r="R58" s="23">
        <v>75</v>
      </c>
      <c r="S58" s="23">
        <v>75</v>
      </c>
      <c r="T58" s="23">
        <v>45</v>
      </c>
      <c r="U58" s="22">
        <v>300</v>
      </c>
      <c r="V58" s="22">
        <v>180</v>
      </c>
      <c r="W58" s="22">
        <v>120</v>
      </c>
      <c r="X58" s="22">
        <v>365</v>
      </c>
      <c r="Y58" s="22">
        <v>180</v>
      </c>
      <c r="Z58" s="22">
        <v>180</v>
      </c>
      <c r="AA58" s="64"/>
      <c r="AB58" s="64"/>
      <c r="AC58" s="64"/>
    </row>
    <row r="59" spans="1:29" s="8" customFormat="1" x14ac:dyDescent="0.3">
      <c r="A59" s="4"/>
      <c r="B59" s="19">
        <v>6</v>
      </c>
      <c r="C59" s="20" t="s">
        <v>307</v>
      </c>
      <c r="D59" s="21" t="s">
        <v>251</v>
      </c>
      <c r="E59" s="22" t="s">
        <v>256</v>
      </c>
      <c r="F59" s="22" t="s">
        <v>308</v>
      </c>
      <c r="G59" s="23" t="s">
        <v>220</v>
      </c>
      <c r="H59" s="23" t="s">
        <v>220</v>
      </c>
      <c r="I59" s="22" t="s">
        <v>181</v>
      </c>
      <c r="J59" s="22">
        <v>365</v>
      </c>
      <c r="K59" s="22">
        <v>120</v>
      </c>
      <c r="L59" s="22">
        <v>120</v>
      </c>
      <c r="M59" s="22">
        <v>75</v>
      </c>
      <c r="N59" s="22">
        <v>90</v>
      </c>
      <c r="O59" s="22">
        <v>90</v>
      </c>
      <c r="P59" s="22" t="s">
        <v>309</v>
      </c>
      <c r="Q59" s="22" t="s">
        <v>309</v>
      </c>
      <c r="R59" s="23">
        <v>90</v>
      </c>
      <c r="S59" s="23">
        <v>90</v>
      </c>
      <c r="T59" s="23">
        <v>60</v>
      </c>
      <c r="U59" s="22">
        <v>120</v>
      </c>
      <c r="V59" s="22"/>
      <c r="W59" s="22">
        <v>120</v>
      </c>
      <c r="X59" s="22">
        <v>365</v>
      </c>
      <c r="Y59" s="22">
        <v>30</v>
      </c>
      <c r="Z59" s="22">
        <v>30</v>
      </c>
      <c r="AA59" s="64"/>
      <c r="AB59" s="64"/>
      <c r="AC59" s="64"/>
    </row>
    <row r="60" spans="1:29" s="8" customFormat="1" x14ac:dyDescent="0.3">
      <c r="A60" s="4"/>
      <c r="B60" s="19">
        <v>7</v>
      </c>
      <c r="C60" s="20" t="s">
        <v>310</v>
      </c>
      <c r="D60" s="21" t="s">
        <v>251</v>
      </c>
      <c r="E60" s="22" t="s">
        <v>256</v>
      </c>
      <c r="F60" s="22" t="s">
        <v>308</v>
      </c>
      <c r="G60" s="23" t="s">
        <v>311</v>
      </c>
      <c r="H60" s="23" t="s">
        <v>311</v>
      </c>
      <c r="I60" s="22" t="s">
        <v>181</v>
      </c>
      <c r="J60" s="22">
        <v>365</v>
      </c>
      <c r="K60" s="22" t="s">
        <v>181</v>
      </c>
      <c r="L60" s="22" t="s">
        <v>181</v>
      </c>
      <c r="M60" s="22">
        <v>75</v>
      </c>
      <c r="N60" s="22" t="s">
        <v>181</v>
      </c>
      <c r="O60" s="22" t="s">
        <v>181</v>
      </c>
      <c r="P60" s="22" t="s">
        <v>181</v>
      </c>
      <c r="Q60" s="22" t="s">
        <v>181</v>
      </c>
      <c r="R60" s="23" t="s">
        <v>312</v>
      </c>
      <c r="S60" s="23" t="s">
        <v>312</v>
      </c>
      <c r="T60" s="23" t="s">
        <v>312</v>
      </c>
      <c r="U60" s="22">
        <v>120</v>
      </c>
      <c r="V60" s="22" t="s">
        <v>313</v>
      </c>
      <c r="W60" s="22">
        <v>120</v>
      </c>
      <c r="X60" s="22">
        <v>365</v>
      </c>
      <c r="Y60" s="22" t="s">
        <v>264</v>
      </c>
      <c r="Z60" s="22" t="s">
        <v>314</v>
      </c>
      <c r="AA60" s="64"/>
      <c r="AB60" s="64"/>
      <c r="AC60" s="64"/>
    </row>
    <row r="61" spans="1:29" s="8" customFormat="1" x14ac:dyDescent="0.3">
      <c r="A61" s="4"/>
      <c r="B61" s="106">
        <v>8</v>
      </c>
      <c r="C61" s="105" t="s">
        <v>315</v>
      </c>
      <c r="D61" s="115" t="s">
        <v>251</v>
      </c>
      <c r="E61" s="116" t="s">
        <v>256</v>
      </c>
      <c r="F61" s="116" t="s">
        <v>308</v>
      </c>
      <c r="G61" s="117">
        <v>180</v>
      </c>
      <c r="H61" s="117">
        <v>180</v>
      </c>
      <c r="I61" s="116" t="s">
        <v>181</v>
      </c>
      <c r="J61" s="116">
        <v>365</v>
      </c>
      <c r="K61" s="116" t="s">
        <v>181</v>
      </c>
      <c r="L61" s="116" t="s">
        <v>181</v>
      </c>
      <c r="M61" s="116" t="s">
        <v>201</v>
      </c>
      <c r="N61" s="116">
        <v>180</v>
      </c>
      <c r="O61" s="116">
        <v>180</v>
      </c>
      <c r="P61" s="116"/>
      <c r="Q61" s="116" t="s">
        <v>309</v>
      </c>
      <c r="R61" s="117">
        <v>180</v>
      </c>
      <c r="S61" s="117">
        <v>180</v>
      </c>
      <c r="T61" s="117">
        <v>90</v>
      </c>
      <c r="U61" s="116">
        <v>120</v>
      </c>
      <c r="V61" s="116"/>
      <c r="W61" s="116">
        <v>120</v>
      </c>
      <c r="X61" s="116">
        <v>365</v>
      </c>
      <c r="Y61" s="116">
        <v>90</v>
      </c>
      <c r="Z61" s="116">
        <v>90</v>
      </c>
      <c r="AA61" s="64"/>
      <c r="AB61" s="64"/>
      <c r="AC61" s="64"/>
    </row>
    <row r="62" spans="1:29" s="8" customFormat="1" x14ac:dyDescent="0.3">
      <c r="A62" s="4"/>
      <c r="B62" s="19">
        <v>9</v>
      </c>
      <c r="C62" s="20" t="s">
        <v>496</v>
      </c>
      <c r="D62" s="21"/>
      <c r="E62" s="22"/>
      <c r="F62" s="22"/>
      <c r="G62" s="23"/>
      <c r="H62" s="23"/>
      <c r="I62" s="22"/>
      <c r="J62" s="22"/>
      <c r="K62" s="22"/>
      <c r="L62" s="22"/>
      <c r="M62" s="22"/>
      <c r="N62" s="22"/>
      <c r="O62" s="22"/>
      <c r="P62" s="22"/>
      <c r="Q62" s="22"/>
      <c r="R62" s="23"/>
      <c r="S62" s="23"/>
      <c r="T62" s="23"/>
      <c r="U62" s="22"/>
      <c r="V62" s="22"/>
      <c r="W62" s="22"/>
      <c r="X62" s="22"/>
      <c r="Y62" s="22"/>
      <c r="Z62" s="22"/>
      <c r="AA62" s="120"/>
      <c r="AB62" s="120"/>
      <c r="AC62" s="120"/>
    </row>
    <row r="63" spans="1:29" s="18" customFormat="1" x14ac:dyDescent="0.3">
      <c r="A63" s="14">
        <f>A52+1</f>
        <v>6</v>
      </c>
      <c r="B63" s="56" t="s">
        <v>316</v>
      </c>
      <c r="C63" s="57"/>
      <c r="D63" s="29"/>
      <c r="E63" s="29"/>
      <c r="F63" s="29"/>
      <c r="G63" s="29"/>
      <c r="H63" s="29"/>
      <c r="I63" s="29"/>
      <c r="J63" s="29"/>
      <c r="K63" s="29"/>
      <c r="L63" s="29"/>
      <c r="M63" s="29"/>
      <c r="N63" s="29"/>
      <c r="O63" s="118"/>
      <c r="P63" s="29"/>
      <c r="Q63" s="29"/>
      <c r="R63" s="69"/>
      <c r="S63" s="69"/>
      <c r="T63" s="69"/>
      <c r="U63" s="58"/>
      <c r="V63" s="29"/>
      <c r="W63" s="29"/>
      <c r="X63" s="119"/>
      <c r="Y63" s="29"/>
      <c r="Z63" s="70"/>
      <c r="AA63" s="71"/>
      <c r="AB63" s="71"/>
      <c r="AC63" s="71"/>
    </row>
    <row r="64" spans="1:29" s="8" customFormat="1" ht="65.25" x14ac:dyDescent="0.25">
      <c r="A64" s="4"/>
      <c r="B64" s="19">
        <v>1</v>
      </c>
      <c r="C64" s="20" t="s">
        <v>317</v>
      </c>
      <c r="D64" s="21" t="s">
        <v>201</v>
      </c>
      <c r="E64" s="22" t="s">
        <v>318</v>
      </c>
      <c r="F64" s="22" t="s">
        <v>318</v>
      </c>
      <c r="G64" s="22" t="s">
        <v>319</v>
      </c>
      <c r="H64" s="22" t="s">
        <v>319</v>
      </c>
      <c r="I64" s="22" t="s">
        <v>320</v>
      </c>
      <c r="J64" s="22" t="s">
        <v>321</v>
      </c>
      <c r="K64" s="22" t="s">
        <v>322</v>
      </c>
      <c r="L64" s="22" t="s">
        <v>322</v>
      </c>
      <c r="M64" s="22" t="s">
        <v>323</v>
      </c>
      <c r="N64" s="22" t="s">
        <v>324</v>
      </c>
      <c r="O64" s="55"/>
      <c r="P64" s="22" t="s">
        <v>325</v>
      </c>
      <c r="Q64" s="22" t="s">
        <v>325</v>
      </c>
      <c r="R64" s="23" t="s">
        <v>326</v>
      </c>
      <c r="S64" s="23" t="s">
        <v>327</v>
      </c>
      <c r="T64" s="23" t="s">
        <v>328</v>
      </c>
      <c r="U64" s="22" t="s">
        <v>329</v>
      </c>
      <c r="V64" s="22" t="s">
        <v>320</v>
      </c>
      <c r="W64" s="22" t="s">
        <v>330</v>
      </c>
      <c r="X64" s="65" t="s">
        <v>331</v>
      </c>
      <c r="Y64" s="22" t="s">
        <v>320</v>
      </c>
      <c r="Z64" s="22" t="s">
        <v>320</v>
      </c>
      <c r="AA64" s="27" t="s">
        <v>184</v>
      </c>
      <c r="AB64" s="27" t="s">
        <v>185</v>
      </c>
      <c r="AC64" s="27" t="s">
        <v>186</v>
      </c>
    </row>
    <row r="65" spans="1:29" s="8" customFormat="1" x14ac:dyDescent="0.25">
      <c r="A65" s="4"/>
      <c r="B65" s="19">
        <v>2</v>
      </c>
      <c r="C65" s="20" t="s">
        <v>619</v>
      </c>
      <c r="D65" s="21" t="s">
        <v>332</v>
      </c>
      <c r="E65" s="22">
        <v>50</v>
      </c>
      <c r="F65" s="22">
        <v>32</v>
      </c>
      <c r="G65" s="22">
        <v>25</v>
      </c>
      <c r="H65" s="22">
        <v>25</v>
      </c>
      <c r="I65" s="22">
        <v>33</v>
      </c>
      <c r="J65" s="22" t="s">
        <v>333</v>
      </c>
      <c r="K65" s="22" t="s">
        <v>334</v>
      </c>
      <c r="L65" s="22">
        <v>31</v>
      </c>
      <c r="M65" s="22" t="s">
        <v>335</v>
      </c>
      <c r="N65" s="22" t="s">
        <v>335</v>
      </c>
      <c r="O65" s="22" t="s">
        <v>336</v>
      </c>
      <c r="P65" s="22" t="s">
        <v>337</v>
      </c>
      <c r="Q65" s="22" t="s">
        <v>338</v>
      </c>
      <c r="R65" s="23" t="s">
        <v>335</v>
      </c>
      <c r="S65" s="23" t="s">
        <v>335</v>
      </c>
      <c r="T65" s="23" t="s">
        <v>335</v>
      </c>
      <c r="U65" s="22">
        <v>24</v>
      </c>
      <c r="V65" s="22" t="s">
        <v>339</v>
      </c>
      <c r="W65" s="22" t="s">
        <v>340</v>
      </c>
      <c r="X65" s="22">
        <v>25</v>
      </c>
      <c r="Y65" s="22" t="s">
        <v>341</v>
      </c>
      <c r="Z65" s="22" t="s">
        <v>341</v>
      </c>
    </row>
    <row r="66" spans="1:29" s="8" customFormat="1" ht="97.85" x14ac:dyDescent="0.25">
      <c r="A66" s="4"/>
      <c r="B66" s="193">
        <v>3</v>
      </c>
      <c r="C66" s="194" t="s">
        <v>342</v>
      </c>
      <c r="D66" s="21" t="s">
        <v>163</v>
      </c>
      <c r="E66" s="22"/>
      <c r="F66" s="53" t="s">
        <v>343</v>
      </c>
      <c r="G66" s="22" t="s">
        <v>344</v>
      </c>
      <c r="H66" s="22" t="s">
        <v>344</v>
      </c>
      <c r="I66" s="22" t="s">
        <v>345</v>
      </c>
      <c r="J66" s="22" t="s">
        <v>346</v>
      </c>
      <c r="K66" s="22" t="s">
        <v>347</v>
      </c>
      <c r="L66" s="23" t="s">
        <v>348</v>
      </c>
      <c r="M66" s="22" t="s">
        <v>346</v>
      </c>
      <c r="N66" s="22" t="s">
        <v>344</v>
      </c>
      <c r="O66" s="22" t="s">
        <v>349</v>
      </c>
      <c r="P66" s="24" t="s">
        <v>350</v>
      </c>
      <c r="Q66" s="24" t="s">
        <v>351</v>
      </c>
      <c r="R66" s="23" t="s">
        <v>352</v>
      </c>
      <c r="S66" s="23" t="s">
        <v>352</v>
      </c>
      <c r="T66" s="23" t="s">
        <v>346</v>
      </c>
      <c r="U66" s="22" t="s">
        <v>353</v>
      </c>
      <c r="V66" s="22" t="s">
        <v>354</v>
      </c>
      <c r="W66" s="22" t="s">
        <v>355</v>
      </c>
      <c r="X66" s="53" t="s">
        <v>356</v>
      </c>
      <c r="Y66" s="22" t="s">
        <v>357</v>
      </c>
      <c r="Z66" s="22" t="s">
        <v>357</v>
      </c>
    </row>
    <row r="67" spans="1:29" s="8" customFormat="1" ht="65.25" x14ac:dyDescent="0.25">
      <c r="A67" s="4"/>
      <c r="B67" s="193"/>
      <c r="C67" s="194"/>
      <c r="D67" s="21" t="s">
        <v>358</v>
      </c>
      <c r="E67" s="22"/>
      <c r="F67" s="22" t="s">
        <v>359</v>
      </c>
      <c r="G67" s="22" t="s">
        <v>360</v>
      </c>
      <c r="H67" s="22" t="s">
        <v>360</v>
      </c>
      <c r="I67" s="22" t="s">
        <v>360</v>
      </c>
      <c r="J67" s="22" t="s">
        <v>361</v>
      </c>
      <c r="K67" s="22" t="s">
        <v>361</v>
      </c>
      <c r="L67" s="23" t="s">
        <v>361</v>
      </c>
      <c r="M67" s="22" t="s">
        <v>361</v>
      </c>
      <c r="N67" s="22" t="s">
        <v>360</v>
      </c>
      <c r="O67" s="22" t="s">
        <v>362</v>
      </c>
      <c r="P67" s="22" t="s">
        <v>363</v>
      </c>
      <c r="Q67" s="22" t="s">
        <v>364</v>
      </c>
      <c r="R67" s="23" t="s">
        <v>361</v>
      </c>
      <c r="S67" s="23" t="s">
        <v>361</v>
      </c>
      <c r="T67" s="23" t="s">
        <v>360</v>
      </c>
      <c r="U67" s="22" t="s">
        <v>359</v>
      </c>
      <c r="V67" s="22" t="s">
        <v>361</v>
      </c>
      <c r="W67" s="22" t="s">
        <v>361</v>
      </c>
      <c r="X67" s="53" t="s">
        <v>361</v>
      </c>
      <c r="Y67" s="22" t="s">
        <v>365</v>
      </c>
      <c r="Z67" s="22" t="s">
        <v>366</v>
      </c>
    </row>
    <row r="68" spans="1:29" s="8" customFormat="1" x14ac:dyDescent="0.25">
      <c r="A68" s="4"/>
      <c r="B68" s="193"/>
      <c r="C68" s="194"/>
      <c r="D68" s="21" t="s">
        <v>367</v>
      </c>
      <c r="E68" s="22"/>
      <c r="F68" s="22" t="s">
        <v>368</v>
      </c>
      <c r="G68" s="22" t="s">
        <v>368</v>
      </c>
      <c r="H68" s="22" t="s">
        <v>368</v>
      </c>
      <c r="I68" s="22">
        <v>185</v>
      </c>
      <c r="J68" s="22" t="s">
        <v>368</v>
      </c>
      <c r="K68" s="22" t="s">
        <v>368</v>
      </c>
      <c r="L68" s="22">
        <v>150</v>
      </c>
      <c r="M68" s="22" t="s">
        <v>368</v>
      </c>
      <c r="N68" s="22">
        <v>150</v>
      </c>
      <c r="O68" s="22" t="s">
        <v>369</v>
      </c>
      <c r="P68" s="22" t="s">
        <v>4</v>
      </c>
      <c r="Q68" s="22" t="s">
        <v>4</v>
      </c>
      <c r="R68" s="23"/>
      <c r="S68" s="23"/>
      <c r="T68" s="23"/>
      <c r="U68" s="22" t="s">
        <v>368</v>
      </c>
      <c r="V68" s="22" t="s">
        <v>368</v>
      </c>
      <c r="W68" s="22" t="s">
        <v>368</v>
      </c>
      <c r="X68" s="53" t="s">
        <v>4</v>
      </c>
      <c r="Y68" s="22" t="s">
        <v>178</v>
      </c>
      <c r="Z68" s="22" t="s">
        <v>178</v>
      </c>
    </row>
    <row r="69" spans="1:29" s="8" customFormat="1" ht="81.55" x14ac:dyDescent="0.25">
      <c r="A69" s="4"/>
      <c r="B69" s="19">
        <v>4</v>
      </c>
      <c r="C69" s="195" t="s">
        <v>620</v>
      </c>
      <c r="D69" s="21" t="s">
        <v>370</v>
      </c>
      <c r="E69" s="22">
        <v>7.0000000000000007E-2</v>
      </c>
      <c r="F69" s="22">
        <v>6.5000000000000002E-2</v>
      </c>
      <c r="G69" s="22">
        <v>0.06</v>
      </c>
      <c r="H69" s="22">
        <v>0.06</v>
      </c>
      <c r="I69" s="22">
        <v>0.15</v>
      </c>
      <c r="J69" s="22">
        <v>0.01</v>
      </c>
      <c r="K69" s="72">
        <v>1.5E-3</v>
      </c>
      <c r="L69" s="72">
        <v>1.8E-3</v>
      </c>
      <c r="M69" s="22">
        <v>0.1</v>
      </c>
      <c r="N69" s="22">
        <v>0.1</v>
      </c>
      <c r="O69" s="22">
        <v>0.1</v>
      </c>
      <c r="P69" s="22">
        <v>0.2</v>
      </c>
      <c r="Q69" s="22">
        <v>0.2</v>
      </c>
      <c r="R69" s="23">
        <v>0.1</v>
      </c>
      <c r="S69" s="23">
        <v>0.1</v>
      </c>
      <c r="T69" s="23">
        <v>0.1</v>
      </c>
      <c r="U69" s="22">
        <v>0.03</v>
      </c>
      <c r="V69" s="22">
        <v>0.1</v>
      </c>
      <c r="W69" s="22" t="s">
        <v>371</v>
      </c>
      <c r="X69" s="22" t="s">
        <v>372</v>
      </c>
      <c r="Y69" s="72">
        <v>4.0000000000000002E-4</v>
      </c>
      <c r="Z69" s="72">
        <v>4.0000000000000002E-4</v>
      </c>
      <c r="AA69" s="128">
        <v>1E-3</v>
      </c>
      <c r="AB69" s="128">
        <v>6.7000000000000002E-4</v>
      </c>
      <c r="AC69" s="128">
        <v>9.1E-4</v>
      </c>
    </row>
    <row r="70" spans="1:29" s="8" customFormat="1" x14ac:dyDescent="0.3">
      <c r="A70" s="4"/>
      <c r="B70" s="19">
        <v>5</v>
      </c>
      <c r="C70" s="20" t="s">
        <v>373</v>
      </c>
      <c r="D70" s="21" t="s">
        <v>201</v>
      </c>
      <c r="E70" s="22"/>
      <c r="F70" s="22" t="s">
        <v>192</v>
      </c>
      <c r="G70" s="22" t="s">
        <v>374</v>
      </c>
      <c r="H70" s="22" t="s">
        <v>374</v>
      </c>
      <c r="I70" s="22" t="s">
        <v>375</v>
      </c>
      <c r="J70" s="22" t="s">
        <v>192</v>
      </c>
      <c r="K70" s="22" t="s">
        <v>376</v>
      </c>
      <c r="L70" s="22" t="s">
        <v>376</v>
      </c>
      <c r="M70" s="22" t="s">
        <v>192</v>
      </c>
      <c r="N70" s="22" t="s">
        <v>192</v>
      </c>
      <c r="O70" s="73" t="s">
        <v>377</v>
      </c>
      <c r="P70" s="22" t="s">
        <v>192</v>
      </c>
      <c r="Q70" s="22" t="s">
        <v>192</v>
      </c>
      <c r="R70" s="23" t="s">
        <v>192</v>
      </c>
      <c r="S70" s="23" t="s">
        <v>192</v>
      </c>
      <c r="T70" s="23" t="s">
        <v>192</v>
      </c>
      <c r="U70" s="22" t="s">
        <v>378</v>
      </c>
      <c r="V70" s="22" t="s">
        <v>192</v>
      </c>
      <c r="W70" s="22" t="s">
        <v>377</v>
      </c>
      <c r="X70" s="22" t="s">
        <v>379</v>
      </c>
      <c r="Y70" s="22" t="s">
        <v>192</v>
      </c>
      <c r="Z70" s="22" t="s">
        <v>192</v>
      </c>
      <c r="AA70" s="28" t="s">
        <v>192</v>
      </c>
      <c r="AB70" s="28" t="s">
        <v>192</v>
      </c>
      <c r="AC70" s="28" t="s">
        <v>192</v>
      </c>
    </row>
    <row r="71" spans="1:29" s="7" customFormat="1" x14ac:dyDescent="0.25">
      <c r="A71" s="4"/>
      <c r="B71" s="19">
        <v>6</v>
      </c>
      <c r="C71" s="74" t="s">
        <v>380</v>
      </c>
      <c r="D71" s="75" t="s">
        <v>621</v>
      </c>
      <c r="E71" s="76"/>
      <c r="F71" s="76"/>
      <c r="G71" s="23"/>
      <c r="H71" s="23"/>
      <c r="I71" s="23"/>
      <c r="J71" s="23"/>
      <c r="K71" s="23"/>
      <c r="L71" s="23"/>
      <c r="M71" s="23"/>
      <c r="N71" s="23"/>
      <c r="O71" s="77"/>
      <c r="P71" s="23">
        <v>250</v>
      </c>
      <c r="Q71" s="67">
        <v>245</v>
      </c>
      <c r="R71" s="23"/>
      <c r="S71" s="23"/>
      <c r="T71" s="23"/>
      <c r="U71" s="23"/>
      <c r="V71" s="23"/>
      <c r="W71" s="23" t="s">
        <v>201</v>
      </c>
      <c r="X71" s="23"/>
      <c r="Y71" s="23"/>
      <c r="Z71" s="23"/>
    </row>
    <row r="72" spans="1:29" s="18" customFormat="1" x14ac:dyDescent="0.3">
      <c r="A72" s="14">
        <f>A63+1</f>
        <v>7</v>
      </c>
      <c r="B72" s="15" t="s">
        <v>381</v>
      </c>
      <c r="C72" s="15"/>
      <c r="D72" s="78"/>
      <c r="E72" s="78"/>
      <c r="F72" s="78"/>
      <c r="G72" s="78"/>
      <c r="H72" s="78"/>
      <c r="I72" s="78"/>
      <c r="J72" s="78"/>
      <c r="K72" s="78"/>
      <c r="L72" s="78"/>
      <c r="M72" s="78"/>
      <c r="N72" s="78"/>
      <c r="O72" s="78"/>
      <c r="P72" s="78"/>
      <c r="Q72" s="78"/>
      <c r="R72" s="78"/>
      <c r="S72" s="78"/>
      <c r="T72" s="78"/>
      <c r="U72" s="79"/>
      <c r="V72" s="78"/>
      <c r="W72" s="78"/>
      <c r="X72" s="78"/>
      <c r="Y72" s="78"/>
      <c r="Z72" s="80"/>
      <c r="AA72" s="71"/>
      <c r="AB72" s="71"/>
      <c r="AC72" s="71"/>
    </row>
    <row r="73" spans="1:29" s="8" customFormat="1" ht="32.6" x14ac:dyDescent="0.3">
      <c r="A73" s="4"/>
      <c r="B73" s="189">
        <v>1</v>
      </c>
      <c r="C73" s="192" t="s">
        <v>382</v>
      </c>
      <c r="D73" s="81" t="s">
        <v>44</v>
      </c>
      <c r="E73" s="81"/>
      <c r="F73" s="82" t="s">
        <v>383</v>
      </c>
      <c r="G73" s="23" t="s">
        <v>384</v>
      </c>
      <c r="H73" s="23" t="s">
        <v>384</v>
      </c>
      <c r="I73" s="22" t="s">
        <v>385</v>
      </c>
      <c r="J73" s="22" t="s">
        <v>386</v>
      </c>
      <c r="K73" s="22" t="s">
        <v>387</v>
      </c>
      <c r="L73" s="22" t="s">
        <v>387</v>
      </c>
      <c r="M73" s="22" t="s">
        <v>387</v>
      </c>
      <c r="N73" s="22" t="s">
        <v>387</v>
      </c>
      <c r="O73" s="22" t="s">
        <v>387</v>
      </c>
      <c r="P73" s="22" t="s">
        <v>387</v>
      </c>
      <c r="Q73" s="22" t="s">
        <v>388</v>
      </c>
      <c r="R73" s="23" t="s">
        <v>389</v>
      </c>
      <c r="S73" s="23" t="s">
        <v>389</v>
      </c>
      <c r="T73" s="23" t="s">
        <v>390</v>
      </c>
      <c r="U73" s="52" t="s">
        <v>391</v>
      </c>
      <c r="V73" s="22" t="s">
        <v>392</v>
      </c>
      <c r="W73" s="22" t="s">
        <v>393</v>
      </c>
      <c r="X73" s="83" t="s">
        <v>394</v>
      </c>
      <c r="Y73" s="22" t="s">
        <v>395</v>
      </c>
      <c r="Z73" s="22" t="s">
        <v>395</v>
      </c>
      <c r="AA73" s="64"/>
      <c r="AB73" s="64"/>
      <c r="AC73" s="64"/>
    </row>
    <row r="74" spans="1:29" s="8" customFormat="1" x14ac:dyDescent="0.3">
      <c r="A74" s="4"/>
      <c r="B74" s="191"/>
      <c r="C74" s="192"/>
      <c r="D74" s="84" t="s">
        <v>396</v>
      </c>
      <c r="E74" s="84"/>
      <c r="F74" s="82" t="s">
        <v>397</v>
      </c>
      <c r="G74" s="23" t="s">
        <v>397</v>
      </c>
      <c r="H74" s="23" t="s">
        <v>397</v>
      </c>
      <c r="I74" s="22" t="s">
        <v>397</v>
      </c>
      <c r="J74" s="22" t="s">
        <v>397</v>
      </c>
      <c r="K74" s="22" t="s">
        <v>397</v>
      </c>
      <c r="L74" s="22" t="s">
        <v>397</v>
      </c>
      <c r="M74" s="22" t="s">
        <v>397</v>
      </c>
      <c r="N74" s="22" t="s">
        <v>397</v>
      </c>
      <c r="O74" s="22" t="s">
        <v>397</v>
      </c>
      <c r="P74" s="22" t="s">
        <v>397</v>
      </c>
      <c r="Q74" s="22" t="s">
        <v>397</v>
      </c>
      <c r="R74" s="23" t="s">
        <v>397</v>
      </c>
      <c r="S74" s="23" t="s">
        <v>397</v>
      </c>
      <c r="T74" s="23" t="s">
        <v>397</v>
      </c>
      <c r="U74" s="52" t="s">
        <v>397</v>
      </c>
      <c r="V74" s="22" t="s">
        <v>397</v>
      </c>
      <c r="W74" s="22" t="s">
        <v>398</v>
      </c>
      <c r="X74" s="53" t="s">
        <v>399</v>
      </c>
      <c r="Y74" s="22" t="s">
        <v>400</v>
      </c>
      <c r="Z74" s="22" t="s">
        <v>400</v>
      </c>
      <c r="AA74" s="64"/>
      <c r="AB74" s="64"/>
      <c r="AC74" s="64"/>
    </row>
    <row r="75" spans="1:29" s="8" customFormat="1" ht="32.6" x14ac:dyDescent="0.3">
      <c r="A75" s="4"/>
      <c r="B75" s="190"/>
      <c r="C75" s="192"/>
      <c r="D75" s="84" t="s">
        <v>401</v>
      </c>
      <c r="E75" s="84"/>
      <c r="F75" s="82" t="s">
        <v>402</v>
      </c>
      <c r="G75" s="23" t="s">
        <v>301</v>
      </c>
      <c r="H75" s="23" t="s">
        <v>301</v>
      </c>
      <c r="I75" s="22" t="s">
        <v>403</v>
      </c>
      <c r="J75" s="22" t="s">
        <v>404</v>
      </c>
      <c r="K75" s="22" t="s">
        <v>404</v>
      </c>
      <c r="L75" s="22" t="s">
        <v>404</v>
      </c>
      <c r="M75" s="22" t="s">
        <v>404</v>
      </c>
      <c r="N75" s="22" t="s">
        <v>404</v>
      </c>
      <c r="O75" s="22" t="s">
        <v>404</v>
      </c>
      <c r="P75" s="22" t="s">
        <v>405</v>
      </c>
      <c r="Q75" s="22" t="s">
        <v>404</v>
      </c>
      <c r="R75" s="23" t="s">
        <v>404</v>
      </c>
      <c r="S75" s="23" t="s">
        <v>404</v>
      </c>
      <c r="T75" s="23" t="s">
        <v>404</v>
      </c>
      <c r="U75" s="52" t="s">
        <v>406</v>
      </c>
      <c r="V75" s="22" t="s">
        <v>404</v>
      </c>
      <c r="W75" s="22" t="s">
        <v>404</v>
      </c>
      <c r="X75" s="53" t="s">
        <v>407</v>
      </c>
      <c r="Y75" s="22" t="s">
        <v>408</v>
      </c>
      <c r="Z75" s="22" t="s">
        <v>404</v>
      </c>
      <c r="AA75" s="64"/>
      <c r="AB75" s="64"/>
      <c r="AC75" s="64"/>
    </row>
    <row r="76" spans="1:29" s="8" customFormat="1" ht="32.6" x14ac:dyDescent="0.3">
      <c r="A76" s="4"/>
      <c r="B76" s="189">
        <v>2</v>
      </c>
      <c r="C76" s="192" t="s">
        <v>409</v>
      </c>
      <c r="D76" s="81" t="s">
        <v>44</v>
      </c>
      <c r="E76" s="81"/>
      <c r="F76" s="82" t="s">
        <v>383</v>
      </c>
      <c r="G76" s="22" t="s">
        <v>387</v>
      </c>
      <c r="H76" s="22" t="s">
        <v>387</v>
      </c>
      <c r="I76" s="22" t="s">
        <v>410</v>
      </c>
      <c r="J76" s="22" t="s">
        <v>411</v>
      </c>
      <c r="K76" s="22" t="s">
        <v>387</v>
      </c>
      <c r="L76" s="22" t="s">
        <v>412</v>
      </c>
      <c r="M76" s="22" t="s">
        <v>413</v>
      </c>
      <c r="N76" s="22" t="s">
        <v>413</v>
      </c>
      <c r="O76" s="22" t="s">
        <v>413</v>
      </c>
      <c r="P76" s="22" t="s">
        <v>412</v>
      </c>
      <c r="Q76" s="22" t="s">
        <v>414</v>
      </c>
      <c r="R76" s="23" t="s">
        <v>389</v>
      </c>
      <c r="S76" s="23" t="s">
        <v>389</v>
      </c>
      <c r="T76" s="23" t="s">
        <v>390</v>
      </c>
      <c r="U76" s="52" t="s">
        <v>415</v>
      </c>
      <c r="V76" s="22" t="s">
        <v>392</v>
      </c>
      <c r="W76" s="22" t="s">
        <v>416</v>
      </c>
      <c r="X76" s="53" t="s">
        <v>394</v>
      </c>
      <c r="Y76" s="22" t="s">
        <v>395</v>
      </c>
      <c r="Z76" s="22" t="s">
        <v>417</v>
      </c>
      <c r="AA76" s="64"/>
      <c r="AB76" s="64"/>
      <c r="AC76" s="64"/>
    </row>
    <row r="77" spans="1:29" s="8" customFormat="1" x14ac:dyDescent="0.3">
      <c r="A77" s="4"/>
      <c r="B77" s="191"/>
      <c r="C77" s="192"/>
      <c r="D77" s="84" t="s">
        <v>396</v>
      </c>
      <c r="E77" s="84"/>
      <c r="F77" s="82" t="s">
        <v>397</v>
      </c>
      <c r="G77" s="22" t="s">
        <v>397</v>
      </c>
      <c r="H77" s="22" t="s">
        <v>397</v>
      </c>
      <c r="I77" s="22" t="s">
        <v>397</v>
      </c>
      <c r="J77" s="22" t="s">
        <v>397</v>
      </c>
      <c r="K77" s="22" t="s">
        <v>397</v>
      </c>
      <c r="L77" s="22" t="s">
        <v>397</v>
      </c>
      <c r="M77" s="22" t="s">
        <v>397</v>
      </c>
      <c r="N77" s="22" t="s">
        <v>397</v>
      </c>
      <c r="O77" s="22" t="s">
        <v>397</v>
      </c>
      <c r="P77" s="22" t="s">
        <v>397</v>
      </c>
      <c r="Q77" s="22" t="s">
        <v>397</v>
      </c>
      <c r="R77" s="23" t="s">
        <v>397</v>
      </c>
      <c r="S77" s="23" t="s">
        <v>397</v>
      </c>
      <c r="T77" s="23" t="s">
        <v>397</v>
      </c>
      <c r="U77" s="52" t="s">
        <v>397</v>
      </c>
      <c r="V77" s="22" t="s">
        <v>397</v>
      </c>
      <c r="W77" s="22" t="s">
        <v>398</v>
      </c>
      <c r="X77" s="53" t="s">
        <v>399</v>
      </c>
      <c r="Y77" s="22" t="s">
        <v>400</v>
      </c>
      <c r="Z77" s="22" t="s">
        <v>400</v>
      </c>
      <c r="AA77" s="64"/>
      <c r="AB77" s="64"/>
      <c r="AC77" s="64"/>
    </row>
    <row r="78" spans="1:29" s="8" customFormat="1" x14ac:dyDescent="0.3">
      <c r="A78" s="4"/>
      <c r="B78" s="190"/>
      <c r="C78" s="192"/>
      <c r="D78" s="84" t="s">
        <v>401</v>
      </c>
      <c r="E78" s="84"/>
      <c r="F78" s="82" t="s">
        <v>402</v>
      </c>
      <c r="G78" s="22" t="s">
        <v>404</v>
      </c>
      <c r="H78" s="22" t="s">
        <v>404</v>
      </c>
      <c r="I78" s="22" t="s">
        <v>418</v>
      </c>
      <c r="J78" s="22" t="s">
        <v>404</v>
      </c>
      <c r="K78" s="22" t="s">
        <v>404</v>
      </c>
      <c r="L78" s="22" t="s">
        <v>404</v>
      </c>
      <c r="M78" s="22" t="s">
        <v>404</v>
      </c>
      <c r="N78" s="22" t="s">
        <v>404</v>
      </c>
      <c r="O78" s="22" t="s">
        <v>404</v>
      </c>
      <c r="P78" s="22" t="s">
        <v>419</v>
      </c>
      <c r="Q78" s="22" t="s">
        <v>420</v>
      </c>
      <c r="R78" s="23" t="s">
        <v>404</v>
      </c>
      <c r="S78" s="23" t="s">
        <v>404</v>
      </c>
      <c r="T78" s="23" t="s">
        <v>404</v>
      </c>
      <c r="U78" s="52" t="s">
        <v>406</v>
      </c>
      <c r="V78" s="22" t="s">
        <v>404</v>
      </c>
      <c r="W78" s="22" t="s">
        <v>404</v>
      </c>
      <c r="X78" s="53" t="s">
        <v>407</v>
      </c>
      <c r="Y78" s="22" t="s">
        <v>404</v>
      </c>
      <c r="Z78" s="22" t="s">
        <v>404</v>
      </c>
      <c r="AA78" s="64"/>
      <c r="AB78" s="64"/>
      <c r="AC78" s="64"/>
    </row>
    <row r="79" spans="1:29" s="8" customFormat="1" ht="32.6" x14ac:dyDescent="0.3">
      <c r="A79" s="4"/>
      <c r="B79" s="189">
        <v>3</v>
      </c>
      <c r="C79" s="192" t="s">
        <v>421</v>
      </c>
      <c r="D79" s="81" t="s">
        <v>44</v>
      </c>
      <c r="E79" s="81"/>
      <c r="F79" s="82" t="s">
        <v>422</v>
      </c>
      <c r="G79" s="22" t="s">
        <v>413</v>
      </c>
      <c r="H79" s="22" t="s">
        <v>413</v>
      </c>
      <c r="I79" s="22" t="s">
        <v>423</v>
      </c>
      <c r="J79" s="22" t="s">
        <v>411</v>
      </c>
      <c r="K79" s="22" t="s">
        <v>387</v>
      </c>
      <c r="L79" s="22" t="s">
        <v>412</v>
      </c>
      <c r="M79" s="22" t="s">
        <v>413</v>
      </c>
      <c r="N79" s="22" t="s">
        <v>413</v>
      </c>
      <c r="O79" s="22" t="s">
        <v>424</v>
      </c>
      <c r="P79" s="22" t="s">
        <v>412</v>
      </c>
      <c r="Q79" s="22" t="s">
        <v>388</v>
      </c>
      <c r="R79" s="23" t="s">
        <v>389</v>
      </c>
      <c r="S79" s="23" t="s">
        <v>389</v>
      </c>
      <c r="T79" s="23" t="s">
        <v>390</v>
      </c>
      <c r="U79" s="52" t="s">
        <v>425</v>
      </c>
      <c r="V79" s="22" t="s">
        <v>392</v>
      </c>
      <c r="W79" s="22" t="s">
        <v>426</v>
      </c>
      <c r="X79" s="53" t="s">
        <v>394</v>
      </c>
      <c r="Y79" s="22" t="s">
        <v>395</v>
      </c>
      <c r="Z79" s="22" t="s">
        <v>417</v>
      </c>
      <c r="AA79" s="64"/>
      <c r="AB79" s="64"/>
      <c r="AC79" s="64"/>
    </row>
    <row r="80" spans="1:29" s="8" customFormat="1" x14ac:dyDescent="0.3">
      <c r="A80" s="4"/>
      <c r="B80" s="191"/>
      <c r="C80" s="192"/>
      <c r="D80" s="84" t="s">
        <v>396</v>
      </c>
      <c r="E80" s="84"/>
      <c r="F80" s="82" t="s">
        <v>397</v>
      </c>
      <c r="G80" s="22" t="s">
        <v>397</v>
      </c>
      <c r="H80" s="22" t="s">
        <v>397</v>
      </c>
      <c r="I80" s="22" t="s">
        <v>397</v>
      </c>
      <c r="J80" s="22" t="s">
        <v>397</v>
      </c>
      <c r="K80" s="22" t="s">
        <v>397</v>
      </c>
      <c r="L80" s="22" t="s">
        <v>397</v>
      </c>
      <c r="M80" s="22" t="s">
        <v>397</v>
      </c>
      <c r="N80" s="22" t="s">
        <v>397</v>
      </c>
      <c r="O80" s="22" t="s">
        <v>397</v>
      </c>
      <c r="P80" s="22" t="s">
        <v>397</v>
      </c>
      <c r="Q80" s="22" t="s">
        <v>397</v>
      </c>
      <c r="R80" s="23" t="s">
        <v>397</v>
      </c>
      <c r="S80" s="23" t="s">
        <v>397</v>
      </c>
      <c r="T80" s="23" t="s">
        <v>397</v>
      </c>
      <c r="U80" s="52" t="s">
        <v>397</v>
      </c>
      <c r="V80" s="22" t="s">
        <v>397</v>
      </c>
      <c r="W80" s="22" t="s">
        <v>398</v>
      </c>
      <c r="X80" s="53" t="s">
        <v>399</v>
      </c>
      <c r="Y80" s="22" t="s">
        <v>400</v>
      </c>
      <c r="Z80" s="22" t="s">
        <v>400</v>
      </c>
      <c r="AA80" s="64"/>
      <c r="AB80" s="64"/>
      <c r="AC80" s="64"/>
    </row>
    <row r="81" spans="1:29" s="8" customFormat="1" x14ac:dyDescent="0.3">
      <c r="A81" s="4"/>
      <c r="B81" s="190"/>
      <c r="C81" s="192"/>
      <c r="D81" s="84" t="s">
        <v>401</v>
      </c>
      <c r="E81" s="84"/>
      <c r="F81" s="82" t="s">
        <v>402</v>
      </c>
      <c r="G81" s="22" t="s">
        <v>404</v>
      </c>
      <c r="H81" s="22" t="s">
        <v>404</v>
      </c>
      <c r="I81" s="22" t="s">
        <v>418</v>
      </c>
      <c r="J81" s="22" t="s">
        <v>404</v>
      </c>
      <c r="K81" s="22" t="s">
        <v>404</v>
      </c>
      <c r="L81" s="22" t="s">
        <v>404</v>
      </c>
      <c r="M81" s="22" t="s">
        <v>404</v>
      </c>
      <c r="N81" s="22" t="s">
        <v>404</v>
      </c>
      <c r="O81" s="22" t="s">
        <v>404</v>
      </c>
      <c r="P81" s="22" t="s">
        <v>419</v>
      </c>
      <c r="Q81" s="22" t="s">
        <v>404</v>
      </c>
      <c r="R81" s="23" t="s">
        <v>404</v>
      </c>
      <c r="S81" s="23" t="s">
        <v>404</v>
      </c>
      <c r="T81" s="23" t="s">
        <v>404</v>
      </c>
      <c r="U81" s="52" t="s">
        <v>406</v>
      </c>
      <c r="V81" s="22" t="s">
        <v>404</v>
      </c>
      <c r="W81" s="22" t="s">
        <v>404</v>
      </c>
      <c r="X81" s="53" t="s">
        <v>407</v>
      </c>
      <c r="Y81" s="22" t="s">
        <v>427</v>
      </c>
      <c r="Z81" s="22" t="s">
        <v>427</v>
      </c>
      <c r="AA81" s="64"/>
      <c r="AB81" s="64"/>
      <c r="AC81" s="64"/>
    </row>
    <row r="82" spans="1:29" s="8" customFormat="1" x14ac:dyDescent="0.3">
      <c r="A82" s="4"/>
      <c r="B82" s="189">
        <v>4</v>
      </c>
      <c r="C82" s="192" t="s">
        <v>428</v>
      </c>
      <c r="D82" s="81" t="s">
        <v>44</v>
      </c>
      <c r="E82" s="54"/>
      <c r="F82" s="55"/>
      <c r="G82" s="54"/>
      <c r="H82" s="54"/>
      <c r="I82" s="54"/>
      <c r="J82" s="54"/>
      <c r="K82" s="54"/>
      <c r="L82" s="54"/>
      <c r="M82" s="54"/>
      <c r="N82" s="54"/>
      <c r="O82" s="54"/>
      <c r="P82" s="54"/>
      <c r="Q82" s="54"/>
      <c r="R82" s="54"/>
      <c r="S82" s="54"/>
      <c r="T82" s="54"/>
      <c r="U82" s="52" t="s">
        <v>429</v>
      </c>
      <c r="V82" s="54"/>
      <c r="W82" s="54"/>
      <c r="X82" s="54"/>
      <c r="Y82" s="54"/>
      <c r="Z82" s="85"/>
      <c r="AA82" s="64"/>
      <c r="AB82" s="64"/>
      <c r="AC82" s="64"/>
    </row>
    <row r="83" spans="1:29" s="8" customFormat="1" x14ac:dyDescent="0.3">
      <c r="A83" s="4"/>
      <c r="B83" s="191"/>
      <c r="C83" s="192"/>
      <c r="D83" s="84" t="s">
        <v>396</v>
      </c>
      <c r="E83" s="86"/>
      <c r="F83" s="55"/>
      <c r="G83" s="54"/>
      <c r="H83" s="54"/>
      <c r="I83" s="54"/>
      <c r="J83" s="54"/>
      <c r="K83" s="54"/>
      <c r="L83" s="54"/>
      <c r="M83" s="54"/>
      <c r="N83" s="54"/>
      <c r="O83" s="54"/>
      <c r="P83" s="54"/>
      <c r="Q83" s="54"/>
      <c r="R83" s="54"/>
      <c r="S83" s="54"/>
      <c r="T83" s="54"/>
      <c r="U83" s="52" t="s">
        <v>397</v>
      </c>
      <c r="V83" s="54"/>
      <c r="W83" s="54"/>
      <c r="X83" s="54"/>
      <c r="Y83" s="54"/>
      <c r="Z83" s="85"/>
      <c r="AA83" s="64"/>
      <c r="AB83" s="64"/>
      <c r="AC83" s="64"/>
    </row>
    <row r="84" spans="1:29" s="8" customFormat="1" x14ac:dyDescent="0.3">
      <c r="A84" s="4"/>
      <c r="B84" s="190"/>
      <c r="C84" s="192"/>
      <c r="D84" s="84" t="s">
        <v>401</v>
      </c>
      <c r="E84" s="86"/>
      <c r="F84" s="55"/>
      <c r="G84" s="54"/>
      <c r="H84" s="54"/>
      <c r="I84" s="54"/>
      <c r="J84" s="54"/>
      <c r="K84" s="54"/>
      <c r="L84" s="54"/>
      <c r="M84" s="54"/>
      <c r="N84" s="54"/>
      <c r="O84" s="54"/>
      <c r="P84" s="54"/>
      <c r="Q84" s="54"/>
      <c r="R84" s="54"/>
      <c r="S84" s="54"/>
      <c r="T84" s="54"/>
      <c r="U84" s="52" t="s">
        <v>406</v>
      </c>
      <c r="V84" s="54"/>
      <c r="W84" s="54"/>
      <c r="X84" s="54"/>
      <c r="Y84" s="54"/>
      <c r="Z84" s="85"/>
      <c r="AA84" s="64"/>
      <c r="AB84" s="64"/>
      <c r="AC84" s="64"/>
    </row>
    <row r="85" spans="1:29" s="8" customFormat="1" x14ac:dyDescent="0.3">
      <c r="A85" s="4"/>
      <c r="B85" s="189">
        <v>5</v>
      </c>
      <c r="C85" s="192" t="s">
        <v>430</v>
      </c>
      <c r="D85" s="81" t="s">
        <v>44</v>
      </c>
      <c r="E85" s="54"/>
      <c r="F85" s="55"/>
      <c r="G85" s="54"/>
      <c r="H85" s="54"/>
      <c r="I85" s="54"/>
      <c r="J85" s="54"/>
      <c r="K85" s="54"/>
      <c r="L85" s="54"/>
      <c r="M85" s="54"/>
      <c r="N85" s="54"/>
      <c r="O85" s="54"/>
      <c r="P85" s="54"/>
      <c r="Q85" s="54"/>
      <c r="R85" s="54"/>
      <c r="S85" s="54"/>
      <c r="T85" s="54"/>
      <c r="U85" s="52" t="s">
        <v>431</v>
      </c>
      <c r="V85" s="54"/>
      <c r="W85" s="54"/>
      <c r="X85" s="54"/>
      <c r="Y85" s="54"/>
      <c r="Z85" s="85"/>
      <c r="AA85" s="64"/>
      <c r="AB85" s="64"/>
      <c r="AC85" s="64"/>
    </row>
    <row r="86" spans="1:29" s="8" customFormat="1" x14ac:dyDescent="0.3">
      <c r="A86" s="4"/>
      <c r="B86" s="191"/>
      <c r="C86" s="192"/>
      <c r="D86" s="84" t="s">
        <v>396</v>
      </c>
      <c r="E86" s="86"/>
      <c r="F86" s="55"/>
      <c r="G86" s="54"/>
      <c r="H86" s="54"/>
      <c r="I86" s="54"/>
      <c r="J86" s="54"/>
      <c r="K86" s="54"/>
      <c r="L86" s="54"/>
      <c r="M86" s="54"/>
      <c r="N86" s="54"/>
      <c r="O86" s="54"/>
      <c r="P86" s="54"/>
      <c r="Q86" s="54"/>
      <c r="R86" s="54"/>
      <c r="S86" s="54"/>
      <c r="T86" s="54"/>
      <c r="U86" s="52" t="s">
        <v>397</v>
      </c>
      <c r="V86" s="54"/>
      <c r="W86" s="54"/>
      <c r="X86" s="54"/>
      <c r="Y86" s="54"/>
      <c r="Z86" s="85"/>
      <c r="AA86" s="64"/>
      <c r="AB86" s="64"/>
      <c r="AC86" s="64"/>
    </row>
    <row r="87" spans="1:29" ht="48.9" x14ac:dyDescent="0.3">
      <c r="B87" s="190"/>
      <c r="C87" s="192"/>
      <c r="D87" s="84" t="s">
        <v>401</v>
      </c>
      <c r="E87" s="86"/>
      <c r="F87" s="55"/>
      <c r="G87" s="88"/>
      <c r="H87" s="88"/>
      <c r="I87" s="88"/>
      <c r="J87" s="88"/>
      <c r="K87" s="88"/>
      <c r="L87" s="88"/>
      <c r="M87" s="88"/>
      <c r="N87" s="88"/>
      <c r="O87" s="88"/>
      <c r="P87" s="88"/>
      <c r="Q87" s="88"/>
      <c r="R87" s="88"/>
      <c r="S87" s="88"/>
      <c r="T87" s="88"/>
      <c r="U87" s="52" t="s">
        <v>432</v>
      </c>
      <c r="V87" s="88"/>
      <c r="W87" s="88"/>
      <c r="X87" s="88"/>
      <c r="Y87" s="88"/>
      <c r="Z87" s="89"/>
    </row>
    <row r="88" spans="1:29" s="18" customFormat="1" x14ac:dyDescent="0.3">
      <c r="A88" s="14">
        <v>8</v>
      </c>
      <c r="B88" s="56" t="s">
        <v>521</v>
      </c>
      <c r="C88" s="57"/>
      <c r="D88" s="29"/>
      <c r="E88" s="29"/>
      <c r="F88" s="29"/>
      <c r="G88" s="29"/>
      <c r="H88" s="29"/>
      <c r="I88" s="29"/>
      <c r="J88" s="29"/>
      <c r="K88" s="29"/>
      <c r="L88" s="29"/>
      <c r="M88" s="29"/>
      <c r="N88" s="29"/>
      <c r="O88" s="29"/>
      <c r="P88" s="29"/>
      <c r="Q88" s="29"/>
      <c r="R88" s="29"/>
      <c r="S88" s="29"/>
      <c r="T88" s="29"/>
      <c r="U88" s="134"/>
      <c r="V88" s="29"/>
      <c r="W88" s="29"/>
      <c r="X88" s="29"/>
      <c r="Y88" s="29"/>
      <c r="Z88" s="70"/>
      <c r="AA88" s="71"/>
      <c r="AB88" s="71"/>
      <c r="AC88" s="71"/>
    </row>
    <row r="89" spans="1:29" s="99" customFormat="1" x14ac:dyDescent="0.25">
      <c r="A89" s="91"/>
      <c r="B89" s="92">
        <v>1</v>
      </c>
      <c r="C89" s="93" t="s">
        <v>511</v>
      </c>
      <c r="D89" s="94"/>
      <c r="E89" s="94"/>
      <c r="F89" s="94"/>
      <c r="G89" s="95"/>
      <c r="H89" s="95"/>
      <c r="I89" s="95"/>
      <c r="J89" s="96"/>
      <c r="K89" s="96"/>
      <c r="L89" s="96"/>
      <c r="M89" s="96"/>
      <c r="N89" s="96"/>
      <c r="O89" s="96"/>
      <c r="P89" s="94"/>
      <c r="Q89" s="94"/>
      <c r="R89" s="97"/>
      <c r="S89" s="97"/>
      <c r="T89" s="97"/>
      <c r="U89" s="95"/>
      <c r="V89" s="95"/>
      <c r="W89" s="96"/>
      <c r="X89" s="96"/>
      <c r="Y89" s="96"/>
      <c r="Z89" s="96"/>
      <c r="AA89" s="135"/>
      <c r="AB89" s="135"/>
      <c r="AC89" s="135"/>
    </row>
    <row r="90" spans="1:29" s="99" customFormat="1" x14ac:dyDescent="0.25">
      <c r="A90" s="91"/>
      <c r="B90" s="92">
        <v>2</v>
      </c>
      <c r="C90" s="93" t="s">
        <v>512</v>
      </c>
      <c r="D90" s="94"/>
      <c r="E90" s="94"/>
      <c r="F90" s="94"/>
      <c r="G90" s="95"/>
      <c r="H90" s="95"/>
      <c r="I90" s="95"/>
      <c r="J90" s="96"/>
      <c r="K90" s="96"/>
      <c r="L90" s="96"/>
      <c r="M90" s="96"/>
      <c r="N90" s="96"/>
      <c r="O90" s="96"/>
      <c r="P90" s="94"/>
      <c r="Q90" s="94"/>
      <c r="R90" s="97"/>
      <c r="S90" s="97"/>
      <c r="T90" s="97"/>
      <c r="U90" s="95"/>
      <c r="V90" s="95"/>
      <c r="W90" s="96"/>
      <c r="X90" s="96"/>
      <c r="Y90" s="96"/>
      <c r="Z90" s="96"/>
      <c r="AA90" s="135"/>
      <c r="AB90" s="135"/>
      <c r="AC90" s="135"/>
    </row>
    <row r="91" spans="1:29" s="99" customFormat="1" x14ac:dyDescent="0.25">
      <c r="A91" s="91"/>
      <c r="B91" s="92">
        <v>3</v>
      </c>
      <c r="C91" s="93" t="s">
        <v>513</v>
      </c>
      <c r="D91" s="94"/>
      <c r="E91" s="94"/>
      <c r="F91" s="94"/>
      <c r="G91" s="95"/>
      <c r="H91" s="95"/>
      <c r="I91" s="95"/>
      <c r="J91" s="96"/>
      <c r="K91" s="96"/>
      <c r="L91" s="96"/>
      <c r="M91" s="96"/>
      <c r="N91" s="96"/>
      <c r="O91" s="96"/>
      <c r="P91" s="94"/>
      <c r="Q91" s="94"/>
      <c r="R91" s="97"/>
      <c r="S91" s="97"/>
      <c r="T91" s="97"/>
      <c r="U91" s="95"/>
      <c r="V91" s="95"/>
      <c r="W91" s="96"/>
      <c r="X91" s="96"/>
      <c r="Y91" s="96"/>
      <c r="Z91" s="96"/>
      <c r="AA91" s="135"/>
      <c r="AB91" s="135"/>
      <c r="AC91" s="135"/>
    </row>
    <row r="92" spans="1:29" s="99" customFormat="1" x14ac:dyDescent="0.25">
      <c r="A92" s="91"/>
      <c r="B92" s="92">
        <v>4</v>
      </c>
      <c r="C92" s="93" t="s">
        <v>516</v>
      </c>
      <c r="D92" s="94"/>
      <c r="E92" s="94"/>
      <c r="F92" s="94"/>
      <c r="G92" s="95"/>
      <c r="H92" s="95"/>
      <c r="I92" s="95"/>
      <c r="J92" s="96"/>
      <c r="K92" s="96"/>
      <c r="L92" s="96"/>
      <c r="M92" s="96"/>
      <c r="N92" s="96"/>
      <c r="O92" s="96"/>
      <c r="P92" s="94"/>
      <c r="Q92" s="94"/>
      <c r="R92" s="97"/>
      <c r="S92" s="97"/>
      <c r="T92" s="97"/>
      <c r="U92" s="95"/>
      <c r="V92" s="95"/>
      <c r="W92" s="96"/>
      <c r="X92" s="96"/>
      <c r="Y92" s="96"/>
      <c r="Z92" s="96"/>
      <c r="AA92" s="135"/>
      <c r="AB92" s="135"/>
      <c r="AC92" s="135"/>
    </row>
    <row r="93" spans="1:29" s="99" customFormat="1" x14ac:dyDescent="0.25">
      <c r="A93" s="91"/>
      <c r="B93" s="92">
        <v>5</v>
      </c>
      <c r="C93" s="93" t="s">
        <v>517</v>
      </c>
      <c r="D93" s="94"/>
      <c r="E93" s="94"/>
      <c r="F93" s="94"/>
      <c r="G93" s="95"/>
      <c r="H93" s="95"/>
      <c r="I93" s="95"/>
      <c r="J93" s="96"/>
      <c r="K93" s="96"/>
      <c r="L93" s="96"/>
      <c r="M93" s="96"/>
      <c r="N93" s="96"/>
      <c r="O93" s="96"/>
      <c r="P93" s="94"/>
      <c r="Q93" s="94"/>
      <c r="R93" s="97"/>
      <c r="S93" s="97"/>
      <c r="T93" s="97"/>
      <c r="U93" s="95"/>
      <c r="V93" s="95"/>
      <c r="W93" s="96"/>
      <c r="X93" s="96"/>
      <c r="Y93" s="96"/>
      <c r="Z93" s="96"/>
      <c r="AA93" s="135"/>
      <c r="AB93" s="135"/>
      <c r="AC93" s="135"/>
    </row>
    <row r="94" spans="1:29" s="99" customFormat="1" x14ac:dyDescent="0.25">
      <c r="A94" s="91"/>
      <c r="B94" s="92">
        <v>6</v>
      </c>
      <c r="C94" s="93" t="s">
        <v>518</v>
      </c>
      <c r="D94" s="94"/>
      <c r="E94" s="94"/>
      <c r="F94" s="94"/>
      <c r="G94" s="95"/>
      <c r="H94" s="95"/>
      <c r="I94" s="95"/>
      <c r="J94" s="96"/>
      <c r="K94" s="96"/>
      <c r="L94" s="96"/>
      <c r="M94" s="96"/>
      <c r="N94" s="96"/>
      <c r="O94" s="96"/>
      <c r="P94" s="94"/>
      <c r="Q94" s="94"/>
      <c r="R94" s="97"/>
      <c r="S94" s="97"/>
      <c r="T94" s="97"/>
      <c r="U94" s="95"/>
      <c r="V94" s="95"/>
      <c r="W94" s="96"/>
      <c r="X94" s="96"/>
      <c r="Y94" s="96"/>
      <c r="Z94" s="96"/>
      <c r="AA94" s="135"/>
      <c r="AB94" s="135"/>
      <c r="AC94" s="135"/>
    </row>
    <row r="95" spans="1:29" s="99" customFormat="1" x14ac:dyDescent="0.25">
      <c r="A95" s="91"/>
      <c r="B95" s="92">
        <v>7</v>
      </c>
      <c r="C95" s="93" t="s">
        <v>519</v>
      </c>
      <c r="D95" s="94"/>
      <c r="E95" s="94"/>
      <c r="F95" s="94"/>
      <c r="G95" s="95"/>
      <c r="H95" s="95"/>
      <c r="I95" s="95"/>
      <c r="J95" s="96"/>
      <c r="K95" s="96"/>
      <c r="L95" s="96"/>
      <c r="M95" s="96"/>
      <c r="N95" s="96"/>
      <c r="O95" s="96"/>
      <c r="P95" s="94"/>
      <c r="Q95" s="94"/>
      <c r="R95" s="97"/>
      <c r="S95" s="97"/>
      <c r="T95" s="97"/>
      <c r="U95" s="95"/>
      <c r="V95" s="95"/>
      <c r="W95" s="96"/>
      <c r="X95" s="96"/>
      <c r="Y95" s="96"/>
      <c r="Z95" s="96"/>
      <c r="AA95" s="135"/>
      <c r="AB95" s="135"/>
      <c r="AC95" s="135"/>
    </row>
    <row r="96" spans="1:29" s="99" customFormat="1" x14ac:dyDescent="0.25">
      <c r="A96" s="91"/>
      <c r="B96" s="92">
        <v>8</v>
      </c>
      <c r="C96" s="93" t="s">
        <v>520</v>
      </c>
      <c r="D96" s="94"/>
      <c r="E96" s="94"/>
      <c r="F96" s="94"/>
      <c r="G96" s="95"/>
      <c r="H96" s="95"/>
      <c r="I96" s="95"/>
      <c r="J96" s="96"/>
      <c r="K96" s="96"/>
      <c r="L96" s="96"/>
      <c r="M96" s="96"/>
      <c r="N96" s="96"/>
      <c r="O96" s="96"/>
      <c r="P96" s="94"/>
      <c r="Q96" s="94"/>
      <c r="R96" s="97"/>
      <c r="S96" s="97"/>
      <c r="T96" s="97"/>
      <c r="U96" s="95"/>
      <c r="V96" s="95"/>
      <c r="W96" s="96"/>
      <c r="X96" s="96"/>
      <c r="Y96" s="96"/>
      <c r="Z96" s="96"/>
      <c r="AA96" s="135"/>
      <c r="AB96" s="135"/>
      <c r="AC96" s="135"/>
    </row>
    <row r="97" spans="1:29" s="99" customFormat="1" x14ac:dyDescent="0.25">
      <c r="A97" s="91"/>
      <c r="B97" s="92">
        <v>9</v>
      </c>
      <c r="C97" s="93"/>
      <c r="D97" s="94"/>
      <c r="E97" s="94"/>
      <c r="F97" s="94"/>
      <c r="G97" s="95"/>
      <c r="H97" s="95"/>
      <c r="I97" s="95"/>
      <c r="J97" s="96"/>
      <c r="K97" s="96"/>
      <c r="L97" s="96"/>
      <c r="M97" s="96"/>
      <c r="N97" s="96"/>
      <c r="O97" s="96"/>
      <c r="P97" s="94"/>
      <c r="Q97" s="94"/>
      <c r="R97" s="97"/>
      <c r="S97" s="97"/>
      <c r="T97" s="97"/>
      <c r="U97" s="95"/>
      <c r="V97" s="95"/>
      <c r="W97" s="96"/>
      <c r="X97" s="96"/>
      <c r="Y97" s="96"/>
      <c r="Z97" s="96"/>
      <c r="AA97" s="135"/>
      <c r="AB97" s="135"/>
      <c r="AC97" s="135"/>
    </row>
    <row r="98" spans="1:29" s="99" customFormat="1" x14ac:dyDescent="0.25">
      <c r="A98" s="91"/>
      <c r="B98" s="92">
        <v>10</v>
      </c>
      <c r="C98" s="93"/>
      <c r="D98" s="94"/>
      <c r="E98" s="94"/>
      <c r="F98" s="94"/>
      <c r="G98" s="95"/>
      <c r="H98" s="95"/>
      <c r="I98" s="95"/>
      <c r="J98" s="96"/>
      <c r="K98" s="96"/>
      <c r="L98" s="96"/>
      <c r="M98" s="96"/>
      <c r="N98" s="96"/>
      <c r="O98" s="96"/>
      <c r="P98" s="94"/>
      <c r="Q98" s="94"/>
      <c r="R98" s="97"/>
      <c r="S98" s="97"/>
      <c r="T98" s="97"/>
      <c r="U98" s="95"/>
      <c r="V98" s="95"/>
      <c r="W98" s="96"/>
      <c r="X98" s="96"/>
      <c r="Y98" s="96"/>
      <c r="Z98" s="96"/>
      <c r="AA98" s="135"/>
      <c r="AB98" s="135"/>
      <c r="AC98" s="135"/>
    </row>
    <row r="99" spans="1:29" s="99" customFormat="1" x14ac:dyDescent="0.25">
      <c r="A99" s="91"/>
      <c r="B99" s="92">
        <v>11</v>
      </c>
      <c r="C99" s="93"/>
      <c r="D99" s="94"/>
      <c r="E99" s="94"/>
      <c r="F99" s="94"/>
      <c r="G99" s="95"/>
      <c r="H99" s="95"/>
      <c r="I99" s="95"/>
      <c r="J99" s="96"/>
      <c r="K99" s="96"/>
      <c r="L99" s="96"/>
      <c r="M99" s="96"/>
      <c r="N99" s="96"/>
      <c r="O99" s="96"/>
      <c r="P99" s="94"/>
      <c r="Q99" s="94"/>
      <c r="R99" s="97"/>
      <c r="S99" s="97"/>
      <c r="T99" s="97"/>
      <c r="U99" s="95"/>
      <c r="V99" s="95"/>
      <c r="W99" s="96"/>
      <c r="X99" s="96"/>
      <c r="Y99" s="96"/>
      <c r="Z99" s="96"/>
      <c r="AA99" s="135"/>
      <c r="AB99" s="135"/>
      <c r="AC99" s="135"/>
    </row>
    <row r="100" spans="1:29" s="18" customFormat="1" x14ac:dyDescent="0.3">
      <c r="A100" s="14">
        <v>9</v>
      </c>
      <c r="B100" s="56" t="s">
        <v>433</v>
      </c>
      <c r="C100" s="57"/>
      <c r="D100" s="29"/>
      <c r="E100" s="29"/>
      <c r="F100" s="29"/>
      <c r="G100" s="29"/>
      <c r="H100" s="29"/>
      <c r="I100" s="29"/>
      <c r="J100" s="29"/>
      <c r="K100" s="29"/>
      <c r="L100" s="29"/>
      <c r="M100" s="29"/>
      <c r="N100" s="29"/>
      <c r="O100" s="29"/>
      <c r="P100" s="29"/>
      <c r="Q100" s="29"/>
      <c r="R100" s="29"/>
      <c r="S100" s="29"/>
      <c r="T100" s="29"/>
      <c r="U100" s="119"/>
      <c r="V100" s="29"/>
      <c r="W100" s="29"/>
      <c r="X100" s="29"/>
      <c r="Y100" s="29"/>
      <c r="Z100" s="70"/>
      <c r="AA100" s="71"/>
      <c r="AB100" s="71"/>
      <c r="AC100" s="71"/>
    </row>
    <row r="101" spans="1:29" s="99" customFormat="1" ht="114.15" x14ac:dyDescent="0.25">
      <c r="A101" s="91"/>
      <c r="B101" s="92"/>
      <c r="C101" s="93"/>
      <c r="D101" s="94"/>
      <c r="E101" s="94"/>
      <c r="F101" s="94" t="s">
        <v>434</v>
      </c>
      <c r="G101" s="95" t="s">
        <v>435</v>
      </c>
      <c r="H101" s="95" t="s">
        <v>435</v>
      </c>
      <c r="I101" s="95" t="s">
        <v>436</v>
      </c>
      <c r="J101" s="96" t="s">
        <v>437</v>
      </c>
      <c r="K101" s="96" t="s">
        <v>438</v>
      </c>
      <c r="L101" s="96" t="s">
        <v>439</v>
      </c>
      <c r="M101" s="96" t="s">
        <v>437</v>
      </c>
      <c r="N101" s="96" t="s">
        <v>435</v>
      </c>
      <c r="O101" s="96"/>
      <c r="P101" s="94" t="s">
        <v>440</v>
      </c>
      <c r="Q101" s="94" t="s">
        <v>441</v>
      </c>
      <c r="R101" s="97" t="s">
        <v>442</v>
      </c>
      <c r="S101" s="97" t="s">
        <v>443</v>
      </c>
      <c r="T101" s="97" t="s">
        <v>444</v>
      </c>
      <c r="U101" s="95" t="s">
        <v>397</v>
      </c>
      <c r="V101" s="95" t="s">
        <v>445</v>
      </c>
      <c r="W101" s="96" t="s">
        <v>446</v>
      </c>
      <c r="X101" s="96" t="s">
        <v>447</v>
      </c>
      <c r="Y101" s="96" t="s">
        <v>448</v>
      </c>
      <c r="Z101" s="96" t="s">
        <v>449</v>
      </c>
      <c r="AA101" s="98"/>
      <c r="AB101" s="98"/>
      <c r="AC101" s="98"/>
    </row>
    <row r="102" spans="1:29" s="18" customFormat="1" ht="40.75" customHeight="1" x14ac:dyDescent="0.3">
      <c r="A102" s="14">
        <v>10</v>
      </c>
      <c r="B102" s="56" t="s">
        <v>450</v>
      </c>
      <c r="C102" s="57"/>
      <c r="D102" s="29"/>
      <c r="E102" s="29"/>
      <c r="F102" s="29"/>
      <c r="G102" s="29"/>
      <c r="H102" s="29"/>
      <c r="I102" s="29"/>
      <c r="J102" s="29"/>
      <c r="K102" s="29"/>
      <c r="L102" s="29"/>
      <c r="M102" s="29"/>
      <c r="N102" s="29"/>
      <c r="O102" s="29"/>
      <c r="P102" s="29"/>
      <c r="Q102" s="29"/>
      <c r="R102" s="29"/>
      <c r="S102" s="29"/>
      <c r="T102" s="29"/>
      <c r="U102" s="30" t="s">
        <v>406</v>
      </c>
      <c r="V102" s="30" t="s">
        <v>451</v>
      </c>
      <c r="W102" s="29"/>
      <c r="X102" s="29"/>
      <c r="Y102" s="29"/>
      <c r="Z102" s="70"/>
      <c r="AA102" s="71"/>
      <c r="AB102" s="71"/>
      <c r="AC102" s="71"/>
    </row>
    <row r="103" spans="1:29" s="99" customFormat="1" ht="65.25" x14ac:dyDescent="0.25">
      <c r="A103" s="91"/>
      <c r="B103" s="92"/>
      <c r="C103" s="93"/>
      <c r="D103" s="94"/>
      <c r="E103" s="94"/>
      <c r="F103" s="94" t="s">
        <v>452</v>
      </c>
      <c r="G103" s="95" t="s">
        <v>453</v>
      </c>
      <c r="H103" s="94" t="s">
        <v>454</v>
      </c>
      <c r="I103" s="95" t="s">
        <v>455</v>
      </c>
      <c r="J103" s="96" t="s">
        <v>456</v>
      </c>
      <c r="K103" s="96" t="s">
        <v>457</v>
      </c>
      <c r="L103" s="96" t="s">
        <v>458</v>
      </c>
      <c r="M103" s="96" t="s">
        <v>459</v>
      </c>
      <c r="N103" s="96" t="s">
        <v>453</v>
      </c>
      <c r="O103" s="96" t="s">
        <v>460</v>
      </c>
      <c r="P103" s="94" t="s">
        <v>461</v>
      </c>
      <c r="Q103" s="94" t="s">
        <v>462</v>
      </c>
      <c r="R103" s="97" t="s">
        <v>463</v>
      </c>
      <c r="S103" s="97" t="s">
        <v>463</v>
      </c>
      <c r="T103" s="97" t="s">
        <v>463</v>
      </c>
      <c r="U103" s="95" t="s">
        <v>431</v>
      </c>
      <c r="V103" s="100" t="s">
        <v>464</v>
      </c>
      <c r="W103" s="96" t="s">
        <v>465</v>
      </c>
      <c r="X103" s="96" t="s">
        <v>466</v>
      </c>
      <c r="Y103" s="96" t="s">
        <v>467</v>
      </c>
      <c r="Z103" s="96" t="s">
        <v>467</v>
      </c>
      <c r="AA103" s="98"/>
      <c r="AB103" s="98"/>
      <c r="AC103" s="98"/>
    </row>
    <row r="104" spans="1:29" s="99" customFormat="1" ht="32.6" x14ac:dyDescent="0.25">
      <c r="A104" s="91"/>
      <c r="B104" s="92"/>
      <c r="C104" s="93"/>
      <c r="D104" s="94"/>
      <c r="E104" s="94"/>
      <c r="F104" s="94" t="s">
        <v>468</v>
      </c>
      <c r="G104" s="95" t="s">
        <v>457</v>
      </c>
      <c r="H104" s="94" t="s">
        <v>454</v>
      </c>
      <c r="I104" s="95" t="s">
        <v>469</v>
      </c>
      <c r="J104" s="96"/>
      <c r="K104" s="101" t="s">
        <v>470</v>
      </c>
      <c r="L104" s="96" t="s">
        <v>471</v>
      </c>
      <c r="M104" s="96"/>
      <c r="N104" s="96" t="s">
        <v>457</v>
      </c>
      <c r="O104" s="96" t="s">
        <v>472</v>
      </c>
      <c r="P104" s="94" t="s">
        <v>473</v>
      </c>
      <c r="Q104" s="94" t="s">
        <v>474</v>
      </c>
      <c r="R104" s="97"/>
      <c r="S104" s="97"/>
      <c r="T104" s="97"/>
      <c r="U104" s="95" t="s">
        <v>397</v>
      </c>
      <c r="V104" s="96" t="s">
        <v>475</v>
      </c>
      <c r="W104" s="96"/>
      <c r="X104" s="96"/>
      <c r="Y104" s="96" t="s">
        <v>476</v>
      </c>
      <c r="Z104" s="96" t="s">
        <v>476</v>
      </c>
      <c r="AA104" s="98"/>
      <c r="AB104" s="98"/>
      <c r="AC104" s="98"/>
    </row>
    <row r="105" spans="1:29" s="99" customFormat="1" ht="81.55" x14ac:dyDescent="0.25">
      <c r="A105" s="91"/>
      <c r="B105" s="92"/>
      <c r="C105" s="93"/>
      <c r="D105" s="94"/>
      <c r="E105" s="94"/>
      <c r="F105" s="94"/>
      <c r="G105" s="95" t="s">
        <v>477</v>
      </c>
      <c r="H105" s="94" t="s">
        <v>454</v>
      </c>
      <c r="I105" s="95" t="s">
        <v>478</v>
      </c>
      <c r="J105" s="96"/>
      <c r="K105" s="96"/>
      <c r="L105" s="96"/>
      <c r="M105" s="96"/>
      <c r="N105" s="96" t="s">
        <v>477</v>
      </c>
      <c r="O105" s="96" t="s">
        <v>479</v>
      </c>
      <c r="P105" s="94"/>
      <c r="Q105" s="94" t="s">
        <v>461</v>
      </c>
      <c r="R105" s="96"/>
      <c r="S105" s="96"/>
      <c r="T105" s="96"/>
      <c r="U105" s="95" t="s">
        <v>432</v>
      </c>
      <c r="V105" s="94"/>
      <c r="W105" s="96"/>
      <c r="X105" s="96"/>
      <c r="Y105" s="96"/>
      <c r="Z105" s="96"/>
      <c r="AA105" s="98"/>
      <c r="AB105" s="98"/>
      <c r="AC105" s="98"/>
    </row>
    <row r="106" spans="1:29" ht="32.6" x14ac:dyDescent="0.3">
      <c r="E106" s="55"/>
      <c r="F106" s="55"/>
      <c r="G106" s="55"/>
      <c r="H106" s="55"/>
      <c r="I106" s="88"/>
      <c r="J106" s="88"/>
      <c r="K106" s="88"/>
      <c r="L106" s="88"/>
      <c r="M106" s="88"/>
      <c r="N106" s="88"/>
      <c r="O106" s="88"/>
      <c r="P106" s="88"/>
      <c r="Q106" s="88"/>
      <c r="R106" s="88"/>
      <c r="S106" s="88"/>
      <c r="T106" s="88"/>
      <c r="U106" s="52" t="s">
        <v>480</v>
      </c>
      <c r="V106" s="103"/>
      <c r="W106" s="88"/>
      <c r="X106" s="88"/>
      <c r="Y106" s="88"/>
      <c r="Z106" s="88"/>
    </row>
    <row r="107" spans="1:29" ht="48.9" x14ac:dyDescent="0.3">
      <c r="E107" s="55"/>
      <c r="F107" s="55"/>
      <c r="G107" s="55"/>
      <c r="H107" s="55"/>
      <c r="I107" s="88"/>
      <c r="J107" s="88"/>
      <c r="K107" s="88"/>
      <c r="L107" s="88"/>
      <c r="M107" s="88"/>
      <c r="N107" s="88"/>
      <c r="O107" s="88"/>
      <c r="P107" s="88"/>
      <c r="Q107" s="88"/>
      <c r="R107" s="88"/>
      <c r="S107" s="88"/>
      <c r="T107" s="88"/>
      <c r="U107" s="52" t="s">
        <v>481</v>
      </c>
      <c r="V107" s="103"/>
      <c r="W107" s="88"/>
      <c r="X107" s="88"/>
      <c r="Y107" s="88"/>
      <c r="Z107" s="88"/>
    </row>
    <row r="108" spans="1:29" x14ac:dyDescent="0.3">
      <c r="E108" s="55"/>
      <c r="F108" s="55"/>
      <c r="G108" s="55"/>
      <c r="H108" s="55"/>
      <c r="I108" s="88"/>
      <c r="J108" s="88"/>
      <c r="K108" s="88"/>
      <c r="L108" s="88"/>
      <c r="M108" s="88"/>
      <c r="N108" s="88"/>
      <c r="O108" s="88"/>
      <c r="P108" s="88"/>
      <c r="Q108" s="88"/>
      <c r="R108" s="88"/>
      <c r="S108" s="88"/>
      <c r="T108" s="88"/>
      <c r="U108" s="52" t="s">
        <v>457</v>
      </c>
      <c r="V108" s="103"/>
      <c r="W108" s="88"/>
      <c r="X108" s="88"/>
      <c r="Y108" s="88"/>
      <c r="Z108" s="88"/>
    </row>
    <row r="109" spans="1:29" ht="65.25" x14ac:dyDescent="0.3">
      <c r="E109" s="55"/>
      <c r="F109" s="55"/>
      <c r="G109" s="55"/>
      <c r="H109" s="55"/>
      <c r="I109" s="88"/>
      <c r="J109" s="88"/>
      <c r="K109" s="88"/>
      <c r="L109" s="88"/>
      <c r="M109" s="88"/>
      <c r="N109" s="88"/>
      <c r="O109" s="88"/>
      <c r="P109" s="88"/>
      <c r="Q109" s="88"/>
      <c r="R109" s="88"/>
      <c r="S109" s="88"/>
      <c r="T109" s="88"/>
      <c r="U109" s="52" t="s">
        <v>482</v>
      </c>
      <c r="V109" s="103"/>
      <c r="W109" s="88"/>
      <c r="X109" s="88"/>
      <c r="Y109" s="88"/>
      <c r="Z109" s="88"/>
    </row>
  </sheetData>
  <mergeCells count="45">
    <mergeCell ref="B82:B84"/>
    <mergeCell ref="C82:C84"/>
    <mergeCell ref="B85:B87"/>
    <mergeCell ref="C85:C87"/>
    <mergeCell ref="M2:X2"/>
    <mergeCell ref="B79:B81"/>
    <mergeCell ref="C79:C81"/>
    <mergeCell ref="B66:B68"/>
    <mergeCell ref="C66:C68"/>
    <mergeCell ref="B73:B75"/>
    <mergeCell ref="C73:C75"/>
    <mergeCell ref="B76:B78"/>
    <mergeCell ref="C76:C78"/>
    <mergeCell ref="B31:B32"/>
    <mergeCell ref="C31:C32"/>
    <mergeCell ref="B50:B51"/>
    <mergeCell ref="C50:C51"/>
    <mergeCell ref="B53:B54"/>
    <mergeCell ref="C53:C54"/>
    <mergeCell ref="B29:B30"/>
    <mergeCell ref="C29:C30"/>
    <mergeCell ref="B34:B35"/>
    <mergeCell ref="B22:B23"/>
    <mergeCell ref="C22:C23"/>
    <mergeCell ref="E2:L2"/>
    <mergeCell ref="E3:F3"/>
    <mergeCell ref="AA3:AC3"/>
    <mergeCell ref="Y3:Z3"/>
    <mergeCell ref="R3:T3"/>
    <mergeCell ref="P3:Q3"/>
    <mergeCell ref="Y2:Z2"/>
    <mergeCell ref="M3:N3"/>
    <mergeCell ref="K3:L3"/>
    <mergeCell ref="B3:B4"/>
    <mergeCell ref="C3:D4"/>
    <mergeCell ref="G3:H3"/>
    <mergeCell ref="R1:T1"/>
    <mergeCell ref="Y1:Z1"/>
    <mergeCell ref="AA1:AC1"/>
    <mergeCell ref="B2:D2"/>
    <mergeCell ref="E1:F1"/>
    <mergeCell ref="G1:H1"/>
    <mergeCell ref="K1:L1"/>
    <mergeCell ref="M1:N1"/>
    <mergeCell ref="P1:Q1"/>
  </mergeCells>
  <pageMargins left="0.7" right="0.7" top="0.75" bottom="0.75" header="0.3" footer="0.3"/>
  <pageSetup scale="11"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86AF0-8EF4-4623-AB15-C32E77B7D024}">
  <dimension ref="A1:BV35"/>
  <sheetViews>
    <sheetView showGridLines="0" workbookViewId="0">
      <pane xSplit="3" ySplit="2" topLeftCell="D12" activePane="bottomRight" state="frozen"/>
      <selection pane="topRight" activeCell="D1" sqref="D1"/>
      <selection pane="bottomLeft" activeCell="A3" sqref="A3"/>
      <selection pane="bottomRight" activeCell="AH20" sqref="AH20:AH21"/>
    </sheetView>
  </sheetViews>
  <sheetFormatPr defaultRowHeight="14.3" x14ac:dyDescent="0.25"/>
  <cols>
    <col min="2" max="2" width="9.75" bestFit="1" customWidth="1"/>
    <col min="5" max="6" width="3.375" style="148" bestFit="1" customWidth="1"/>
    <col min="7" max="7" width="7" style="148" customWidth="1"/>
    <col min="8" max="19" width="3.375" bestFit="1" customWidth="1"/>
    <col min="20" max="20" width="5" customWidth="1"/>
    <col min="21" max="25" width="3.375" bestFit="1" customWidth="1"/>
    <col min="26" max="26" width="5.375" customWidth="1"/>
    <col min="27" max="27" width="3.375" style="148" bestFit="1" customWidth="1"/>
    <col min="28" max="41" width="3.375" bestFit="1" customWidth="1"/>
    <col min="42" max="42" width="4.25" customWidth="1"/>
    <col min="43" max="43" width="3.375" style="149" bestFit="1" customWidth="1"/>
    <col min="44" max="44" width="6" style="149" bestFit="1" customWidth="1"/>
    <col min="45" max="53" width="3.375" style="149" bestFit="1" customWidth="1"/>
    <col min="54" max="54" width="6" style="149" bestFit="1" customWidth="1"/>
    <col min="55" max="55" width="3.375" style="149" bestFit="1" customWidth="1"/>
    <col min="56" max="56" width="6" style="149" bestFit="1" customWidth="1"/>
    <col min="57" max="57" width="3.375" style="149" bestFit="1" customWidth="1"/>
    <col min="58" max="61" width="3.375" bestFit="1" customWidth="1"/>
    <col min="62" max="62" width="6" bestFit="1" customWidth="1"/>
    <col min="63" max="73" width="3.375" bestFit="1" customWidth="1"/>
    <col min="74" max="74" width="6" bestFit="1" customWidth="1"/>
  </cols>
  <sheetData>
    <row r="1" spans="1:74" x14ac:dyDescent="0.25">
      <c r="A1" s="138"/>
      <c r="B1" s="139"/>
      <c r="C1" s="139"/>
      <c r="D1" s="139"/>
      <c r="E1" s="154"/>
      <c r="F1" s="155"/>
      <c r="G1" s="154"/>
      <c r="H1" s="158" t="s">
        <v>35</v>
      </c>
      <c r="I1" s="159"/>
      <c r="J1" s="159"/>
      <c r="K1" s="159"/>
      <c r="L1" s="159"/>
      <c r="M1" s="159"/>
      <c r="N1" s="159"/>
      <c r="O1" s="159"/>
      <c r="P1" s="159"/>
      <c r="Q1" s="159"/>
      <c r="R1" s="159"/>
      <c r="S1" s="160"/>
      <c r="U1" s="157" t="s">
        <v>575</v>
      </c>
      <c r="V1" s="157"/>
      <c r="W1" s="157"/>
      <c r="X1" s="157"/>
      <c r="Y1" s="157"/>
      <c r="AA1" s="157" t="s">
        <v>584</v>
      </c>
      <c r="AB1" s="157"/>
      <c r="AC1" s="157"/>
      <c r="AD1" s="157"/>
      <c r="AE1" s="157"/>
      <c r="AF1" s="157"/>
      <c r="AG1" s="157"/>
      <c r="AH1" s="157"/>
      <c r="AI1" s="157"/>
      <c r="AJ1" s="157"/>
      <c r="AK1" s="157"/>
      <c r="AL1" s="157"/>
      <c r="AM1" s="157"/>
      <c r="AN1" s="157"/>
      <c r="AO1" s="157"/>
      <c r="AQ1" s="161" t="s">
        <v>616</v>
      </c>
      <c r="AR1" s="161"/>
      <c r="AS1" s="161"/>
      <c r="AT1" s="161"/>
      <c r="AU1" s="161"/>
      <c r="AV1" s="161"/>
      <c r="AW1" s="161"/>
      <c r="AX1" s="161"/>
      <c r="AY1" s="161"/>
      <c r="AZ1" s="161"/>
      <c r="BA1" s="161"/>
      <c r="BB1" s="161"/>
      <c r="BC1" s="161"/>
      <c r="BD1" s="161"/>
      <c r="BE1" s="161"/>
      <c r="BF1" s="161"/>
      <c r="BG1" s="161"/>
      <c r="BH1" s="161"/>
      <c r="BI1" s="161"/>
      <c r="BJ1" s="161"/>
      <c r="BK1" s="161"/>
      <c r="BL1" s="161"/>
      <c r="BM1" s="161"/>
      <c r="BN1" s="161"/>
      <c r="BO1" s="161"/>
      <c r="BP1" s="161"/>
      <c r="BQ1" s="161"/>
      <c r="BR1" s="161"/>
      <c r="BS1" s="161"/>
      <c r="BT1" s="161"/>
      <c r="BU1" s="161"/>
      <c r="BV1" s="161"/>
    </row>
    <row r="2" spans="1:74" ht="135.85" customHeight="1" x14ac:dyDescent="0.25">
      <c r="A2" s="140" t="s">
        <v>560</v>
      </c>
      <c r="B2" s="140" t="s">
        <v>549</v>
      </c>
      <c r="C2" s="140" t="s">
        <v>550</v>
      </c>
      <c r="D2" s="141" t="s">
        <v>553</v>
      </c>
      <c r="E2" s="147" t="s">
        <v>551</v>
      </c>
      <c r="F2" s="147" t="s">
        <v>552</v>
      </c>
      <c r="G2" s="156" t="s">
        <v>617</v>
      </c>
      <c r="H2" s="142" t="s">
        <v>522</v>
      </c>
      <c r="I2" s="143" t="s">
        <v>564</v>
      </c>
      <c r="J2" s="143" t="s">
        <v>565</v>
      </c>
      <c r="K2" s="143" t="s">
        <v>566</v>
      </c>
      <c r="L2" s="143" t="s">
        <v>567</v>
      </c>
      <c r="M2" s="143" t="s">
        <v>568</v>
      </c>
      <c r="N2" s="143" t="s">
        <v>569</v>
      </c>
      <c r="O2" s="143" t="s">
        <v>523</v>
      </c>
      <c r="P2" s="143" t="s">
        <v>536</v>
      </c>
      <c r="Q2" s="143" t="s">
        <v>540</v>
      </c>
      <c r="R2" s="143" t="s">
        <v>524</v>
      </c>
      <c r="S2" s="143" t="s">
        <v>525</v>
      </c>
      <c r="U2" s="143" t="s">
        <v>571</v>
      </c>
      <c r="V2" s="143" t="s">
        <v>88</v>
      </c>
      <c r="W2" s="143" t="s">
        <v>572</v>
      </c>
      <c r="X2" s="143" t="s">
        <v>573</v>
      </c>
      <c r="Y2" s="143" t="s">
        <v>574</v>
      </c>
      <c r="AA2" s="147" t="s">
        <v>577</v>
      </c>
      <c r="AB2" s="147" t="s">
        <v>576</v>
      </c>
      <c r="AC2" s="147" t="s">
        <v>212</v>
      </c>
      <c r="AD2" s="147" t="s">
        <v>578</v>
      </c>
      <c r="AE2" s="147" t="s">
        <v>579</v>
      </c>
      <c r="AF2" s="147" t="s">
        <v>204</v>
      </c>
      <c r="AG2" s="147" t="s">
        <v>206</v>
      </c>
      <c r="AH2" s="147" t="s">
        <v>580</v>
      </c>
      <c r="AI2" s="147" t="s">
        <v>215</v>
      </c>
      <c r="AJ2" s="147" t="s">
        <v>198</v>
      </c>
      <c r="AK2" s="147" t="s">
        <v>199</v>
      </c>
      <c r="AL2" s="147" t="s">
        <v>582</v>
      </c>
      <c r="AM2" s="147" t="s">
        <v>583</v>
      </c>
      <c r="AN2" s="147" t="s">
        <v>581</v>
      </c>
      <c r="AO2" s="147" t="s">
        <v>215</v>
      </c>
      <c r="AQ2" s="142" t="s">
        <v>585</v>
      </c>
      <c r="AR2" s="142" t="s">
        <v>586</v>
      </c>
      <c r="AS2" s="142" t="s">
        <v>587</v>
      </c>
      <c r="AT2" s="142" t="s">
        <v>588</v>
      </c>
      <c r="AU2" s="142" t="s">
        <v>590</v>
      </c>
      <c r="AV2" s="142" t="s">
        <v>591</v>
      </c>
      <c r="AW2" s="142" t="s">
        <v>589</v>
      </c>
      <c r="AX2" s="142" t="s">
        <v>592</v>
      </c>
      <c r="AY2" s="142" t="s">
        <v>593</v>
      </c>
      <c r="AZ2" s="142" t="s">
        <v>594</v>
      </c>
      <c r="BA2" s="142" t="s">
        <v>595</v>
      </c>
      <c r="BB2" s="142" t="s">
        <v>596</v>
      </c>
      <c r="BC2" s="142" t="s">
        <v>597</v>
      </c>
      <c r="BD2" s="142" t="s">
        <v>598</v>
      </c>
      <c r="BE2" s="142" t="s">
        <v>599</v>
      </c>
      <c r="BF2" s="143" t="s">
        <v>600</v>
      </c>
      <c r="BG2" s="143" t="s">
        <v>601</v>
      </c>
      <c r="BH2" s="143" t="s">
        <v>457</v>
      </c>
      <c r="BI2" s="143" t="s">
        <v>602</v>
      </c>
      <c r="BJ2" s="142" t="s">
        <v>603</v>
      </c>
      <c r="BK2" s="143" t="s">
        <v>604</v>
      </c>
      <c r="BL2" s="143" t="s">
        <v>605</v>
      </c>
      <c r="BM2" s="143" t="s">
        <v>606</v>
      </c>
      <c r="BN2" s="143" t="s">
        <v>607</v>
      </c>
      <c r="BO2" s="143" t="s">
        <v>608</v>
      </c>
      <c r="BP2" s="143" t="s">
        <v>609</v>
      </c>
      <c r="BQ2" s="143" t="s">
        <v>610</v>
      </c>
      <c r="BR2" s="143" t="s">
        <v>611</v>
      </c>
      <c r="BS2" s="143" t="s">
        <v>612</v>
      </c>
      <c r="BT2" s="143" t="s">
        <v>613</v>
      </c>
      <c r="BU2" s="143" t="s">
        <v>614</v>
      </c>
      <c r="BV2" s="142" t="s">
        <v>615</v>
      </c>
    </row>
    <row r="3" spans="1:74" ht="19.05" x14ac:dyDescent="0.35">
      <c r="A3" s="136" t="s">
        <v>562</v>
      </c>
      <c r="B3" s="136" t="s">
        <v>532</v>
      </c>
      <c r="C3" s="136" t="s">
        <v>24</v>
      </c>
      <c r="D3" s="136">
        <v>380</v>
      </c>
      <c r="E3" s="152">
        <v>2</v>
      </c>
      <c r="F3" s="152">
        <v>0</v>
      </c>
      <c r="G3" s="152">
        <v>2</v>
      </c>
      <c r="H3" s="136"/>
      <c r="I3" s="136"/>
      <c r="J3" s="136"/>
      <c r="K3" s="136"/>
      <c r="L3" s="137" t="s">
        <v>529</v>
      </c>
      <c r="M3" s="136"/>
      <c r="N3" s="136"/>
      <c r="O3" s="136"/>
      <c r="P3" s="136"/>
      <c r="Q3" s="136"/>
      <c r="R3" s="136"/>
      <c r="S3" s="136"/>
      <c r="U3" s="136"/>
      <c r="V3" s="136"/>
      <c r="W3" s="137" t="s">
        <v>529</v>
      </c>
      <c r="X3" s="136"/>
      <c r="Y3" s="136"/>
      <c r="AA3" s="152">
        <v>2</v>
      </c>
      <c r="AB3" s="136"/>
      <c r="AC3" s="136"/>
      <c r="AD3" s="136"/>
      <c r="AE3" s="136"/>
      <c r="AF3" s="136"/>
      <c r="AG3" s="136"/>
      <c r="AH3" s="137" t="s">
        <v>529</v>
      </c>
      <c r="AI3" s="136"/>
      <c r="AJ3" s="136"/>
      <c r="AK3" s="136"/>
      <c r="AL3" s="136"/>
      <c r="AM3" s="136"/>
      <c r="AN3" s="136"/>
      <c r="AO3" s="136"/>
      <c r="AQ3" s="150"/>
      <c r="AR3" s="150"/>
      <c r="AS3" s="150"/>
      <c r="AT3" s="150"/>
      <c r="AU3" s="150" t="s">
        <v>529</v>
      </c>
      <c r="AV3" s="150"/>
      <c r="AW3" s="150" t="s">
        <v>529</v>
      </c>
      <c r="AX3" s="150" t="s">
        <v>529</v>
      </c>
      <c r="AY3" s="150"/>
      <c r="AZ3" s="150"/>
      <c r="BA3" s="150"/>
      <c r="BB3" s="150"/>
      <c r="BC3" s="150"/>
      <c r="BD3" s="150"/>
      <c r="BE3" s="150"/>
      <c r="BF3" s="151"/>
      <c r="BG3" s="151"/>
      <c r="BH3" s="151"/>
      <c r="BI3" s="151"/>
      <c r="BJ3" s="151"/>
      <c r="BK3" s="151"/>
      <c r="BL3" s="151"/>
      <c r="BM3" s="151"/>
      <c r="BN3" s="151"/>
      <c r="BO3" s="151"/>
      <c r="BP3" s="151"/>
      <c r="BQ3" s="151"/>
      <c r="BR3" s="151"/>
      <c r="BS3" s="151"/>
      <c r="BT3" s="151" t="s">
        <v>529</v>
      </c>
      <c r="BU3" s="151"/>
      <c r="BV3" s="151"/>
    </row>
    <row r="4" spans="1:74" ht="19.05" x14ac:dyDescent="0.35">
      <c r="A4" s="136" t="s">
        <v>562</v>
      </c>
      <c r="B4" s="136" t="s">
        <v>533</v>
      </c>
      <c r="C4" s="136" t="s">
        <v>25</v>
      </c>
      <c r="D4" s="136">
        <v>173</v>
      </c>
      <c r="E4" s="152">
        <v>1</v>
      </c>
      <c r="F4" s="152">
        <v>0</v>
      </c>
      <c r="G4" s="152">
        <v>1</v>
      </c>
      <c r="H4" s="136"/>
      <c r="I4" s="136"/>
      <c r="J4" s="136"/>
      <c r="K4" s="137" t="s">
        <v>529</v>
      </c>
      <c r="L4" s="136"/>
      <c r="M4" s="136"/>
      <c r="N4" s="136"/>
      <c r="O4" s="136"/>
      <c r="P4" s="136"/>
      <c r="Q4" s="136"/>
      <c r="R4" s="136"/>
      <c r="S4" s="136"/>
      <c r="U4" s="136"/>
      <c r="V4" s="136"/>
      <c r="W4" s="137" t="s">
        <v>529</v>
      </c>
      <c r="X4" s="136"/>
      <c r="Y4" s="136"/>
      <c r="AA4" s="152">
        <v>1</v>
      </c>
      <c r="AB4" s="136"/>
      <c r="AC4" s="136"/>
      <c r="AD4" s="136"/>
      <c r="AE4" s="136"/>
      <c r="AF4" s="136"/>
      <c r="AG4" s="136"/>
      <c r="AH4" s="136"/>
      <c r="AI4" s="136"/>
      <c r="AJ4" s="136"/>
      <c r="AK4" s="136"/>
      <c r="AL4" s="136"/>
      <c r="AM4" s="137" t="s">
        <v>529</v>
      </c>
      <c r="AN4" s="136"/>
      <c r="AO4" s="136"/>
      <c r="AQ4" s="150"/>
      <c r="AR4" s="150"/>
      <c r="AS4" s="150" t="s">
        <v>529</v>
      </c>
      <c r="AT4" s="150" t="s">
        <v>529</v>
      </c>
      <c r="AU4" s="150"/>
      <c r="AV4" s="150"/>
      <c r="AW4" s="150"/>
      <c r="AX4" s="150"/>
      <c r="AY4" s="150"/>
      <c r="AZ4" s="150"/>
      <c r="BA4" s="150"/>
      <c r="BB4" s="150"/>
      <c r="BC4" s="150"/>
      <c r="BD4" s="150"/>
      <c r="BE4" s="150" t="s">
        <v>529</v>
      </c>
      <c r="BF4" s="151"/>
      <c r="BG4" s="151"/>
      <c r="BH4" s="151" t="s">
        <v>529</v>
      </c>
      <c r="BI4" s="151"/>
      <c r="BJ4" s="151" t="s">
        <v>529</v>
      </c>
      <c r="BK4" s="151"/>
      <c r="BL4" s="151"/>
      <c r="BM4" s="151"/>
      <c r="BN4" s="151"/>
      <c r="BO4" s="151"/>
      <c r="BP4" s="151"/>
      <c r="BQ4" s="151" t="s">
        <v>529</v>
      </c>
      <c r="BR4" s="151"/>
      <c r="BS4" s="151" t="s">
        <v>529</v>
      </c>
      <c r="BT4" s="151"/>
      <c r="BU4" s="151"/>
      <c r="BV4" s="151"/>
    </row>
    <row r="5" spans="1:74" ht="19.05" x14ac:dyDescent="0.35">
      <c r="A5" s="136" t="s">
        <v>562</v>
      </c>
      <c r="B5" s="136" t="s">
        <v>534</v>
      </c>
      <c r="C5" s="136" t="s">
        <v>24</v>
      </c>
      <c r="D5" s="136">
        <v>600</v>
      </c>
      <c r="E5" s="152">
        <v>3</v>
      </c>
      <c r="F5" s="152">
        <v>0</v>
      </c>
      <c r="G5" s="152"/>
      <c r="H5" s="136"/>
      <c r="I5" s="136"/>
      <c r="J5" s="136"/>
      <c r="K5" s="136"/>
      <c r="L5" s="137" t="s">
        <v>529</v>
      </c>
      <c r="M5" s="136"/>
      <c r="N5" s="136"/>
      <c r="O5" s="136"/>
      <c r="P5" s="136"/>
      <c r="Q5" s="136"/>
      <c r="R5" s="136"/>
      <c r="S5" s="136"/>
      <c r="U5" s="136"/>
      <c r="V5" s="137" t="s">
        <v>529</v>
      </c>
      <c r="W5" s="136"/>
      <c r="X5" s="136"/>
      <c r="Y5" s="136"/>
      <c r="AA5" s="152">
        <v>3</v>
      </c>
      <c r="AB5" s="136"/>
      <c r="AC5" s="136"/>
      <c r="AD5" s="136"/>
      <c r="AE5" s="136"/>
      <c r="AF5" s="136"/>
      <c r="AG5" s="136"/>
      <c r="AH5" s="136"/>
      <c r="AI5" s="136"/>
      <c r="AJ5" s="136"/>
      <c r="AK5" s="136"/>
      <c r="AL5" s="136"/>
      <c r="AM5" s="136"/>
      <c r="AN5" s="137" t="s">
        <v>529</v>
      </c>
      <c r="AO5" s="136"/>
      <c r="AQ5" s="150"/>
      <c r="AR5" s="150"/>
      <c r="AS5" s="150"/>
      <c r="AT5" s="150"/>
      <c r="AU5" s="150" t="s">
        <v>529</v>
      </c>
      <c r="AV5" s="150"/>
      <c r="AW5" s="150"/>
      <c r="AX5" s="150"/>
      <c r="AY5" s="150"/>
      <c r="AZ5" s="150"/>
      <c r="BA5" s="150"/>
      <c r="BB5" s="150"/>
      <c r="BC5" s="150"/>
      <c r="BD5" s="150"/>
      <c r="BE5" s="150" t="s">
        <v>529</v>
      </c>
      <c r="BF5" s="151"/>
      <c r="BG5" s="151"/>
      <c r="BH5" s="151"/>
      <c r="BI5" s="151"/>
      <c r="BJ5" s="151"/>
      <c r="BK5" s="151"/>
      <c r="BL5" s="151"/>
      <c r="BM5" s="151"/>
      <c r="BN5" s="150" t="s">
        <v>529</v>
      </c>
      <c r="BO5" s="151"/>
      <c r="BP5" s="151"/>
      <c r="BQ5" s="151"/>
      <c r="BR5" s="151"/>
      <c r="BS5" s="151"/>
      <c r="BT5" s="151"/>
      <c r="BU5" s="151"/>
      <c r="BV5" s="151"/>
    </row>
    <row r="6" spans="1:74" ht="19.05" x14ac:dyDescent="0.35">
      <c r="A6" s="136" t="s">
        <v>562</v>
      </c>
      <c r="B6" s="136" t="s">
        <v>535</v>
      </c>
      <c r="C6" s="136" t="s">
        <v>25</v>
      </c>
      <c r="D6" s="136">
        <v>800</v>
      </c>
      <c r="E6" s="152">
        <v>4</v>
      </c>
      <c r="F6" s="152"/>
      <c r="G6" s="152"/>
      <c r="H6" s="136"/>
      <c r="I6" s="136"/>
      <c r="J6" s="136"/>
      <c r="K6" s="136"/>
      <c r="L6" s="136"/>
      <c r="M6" s="136"/>
      <c r="N6" s="136"/>
      <c r="O6" s="136"/>
      <c r="P6" s="137" t="s">
        <v>529</v>
      </c>
      <c r="Q6" s="136"/>
      <c r="R6" s="136"/>
      <c r="S6" s="136"/>
      <c r="U6" s="136"/>
      <c r="V6" s="137" t="s">
        <v>529</v>
      </c>
      <c r="W6" s="136"/>
      <c r="X6" s="136"/>
      <c r="Y6" s="136"/>
      <c r="AA6" s="152">
        <v>4</v>
      </c>
      <c r="AB6" s="136"/>
      <c r="AC6" s="137" t="s">
        <v>529</v>
      </c>
      <c r="AD6" s="136"/>
      <c r="AE6" s="136"/>
      <c r="AF6" s="136"/>
      <c r="AG6" s="136"/>
      <c r="AH6" s="136"/>
      <c r="AI6" s="136"/>
      <c r="AJ6" s="136"/>
      <c r="AK6" s="136"/>
      <c r="AL6" s="136"/>
      <c r="AM6" s="136"/>
      <c r="AN6" s="136"/>
      <c r="AO6" s="136"/>
      <c r="AQ6" s="150"/>
      <c r="AR6" s="150"/>
      <c r="AS6" s="150" t="s">
        <v>529</v>
      </c>
      <c r="AT6" s="150"/>
      <c r="AU6" s="150"/>
      <c r="AV6" s="150"/>
      <c r="AW6" s="150"/>
      <c r="AX6" s="150"/>
      <c r="AY6" s="150"/>
      <c r="AZ6" s="150"/>
      <c r="BA6" s="150"/>
      <c r="BB6" s="150"/>
      <c r="BC6" s="150"/>
      <c r="BD6" s="150"/>
      <c r="BE6" s="150"/>
      <c r="BF6" s="151"/>
      <c r="BG6" s="151"/>
      <c r="BH6" s="151"/>
      <c r="BI6" s="151"/>
      <c r="BJ6" s="151"/>
      <c r="BK6" s="151"/>
      <c r="BL6" s="151"/>
      <c r="BM6" s="151"/>
      <c r="BN6" s="151"/>
      <c r="BO6" s="150" t="s">
        <v>529</v>
      </c>
      <c r="BP6" s="150" t="s">
        <v>529</v>
      </c>
      <c r="BQ6" s="151"/>
      <c r="BR6" s="151"/>
      <c r="BS6" s="151"/>
      <c r="BT6" s="151"/>
      <c r="BU6" s="151"/>
      <c r="BV6" s="150" t="s">
        <v>529</v>
      </c>
    </row>
    <row r="7" spans="1:74" ht="19.05" x14ac:dyDescent="0.35">
      <c r="A7" s="136" t="s">
        <v>562</v>
      </c>
      <c r="B7" s="136" t="s">
        <v>537</v>
      </c>
      <c r="C7" s="136" t="s">
        <v>24</v>
      </c>
      <c r="D7" s="136">
        <v>275</v>
      </c>
      <c r="E7" s="152">
        <v>2</v>
      </c>
      <c r="F7" s="152">
        <v>1</v>
      </c>
      <c r="G7" s="152"/>
      <c r="H7" s="136"/>
      <c r="I7" s="136"/>
      <c r="J7" s="137" t="s">
        <v>529</v>
      </c>
      <c r="K7" s="136"/>
      <c r="L7" s="136"/>
      <c r="M7" s="136"/>
      <c r="N7" s="136"/>
      <c r="O7" s="136"/>
      <c r="P7" s="136"/>
      <c r="Q7" s="136"/>
      <c r="R7" s="136"/>
      <c r="S7" s="136"/>
      <c r="U7" s="136"/>
      <c r="V7" s="137" t="s">
        <v>529</v>
      </c>
      <c r="W7" s="136"/>
      <c r="X7" s="136"/>
      <c r="Y7" s="136"/>
      <c r="AA7" s="152">
        <v>2</v>
      </c>
      <c r="AB7" s="136"/>
      <c r="AC7" s="136"/>
      <c r="AD7" s="137" t="s">
        <v>529</v>
      </c>
      <c r="AE7" s="136"/>
      <c r="AF7" s="136"/>
      <c r="AG7" s="136"/>
      <c r="AH7" s="136"/>
      <c r="AI7" s="136"/>
      <c r="AJ7" s="136"/>
      <c r="AK7" s="136"/>
      <c r="AL7" s="136"/>
      <c r="AM7" s="136"/>
      <c r="AN7" s="136"/>
      <c r="AO7" s="136"/>
      <c r="AQ7" s="150"/>
      <c r="AR7" s="150"/>
      <c r="AS7" s="150"/>
      <c r="AT7" s="150"/>
      <c r="AU7" s="150"/>
      <c r="AV7" s="150"/>
      <c r="AW7" s="150"/>
      <c r="AX7" s="150"/>
      <c r="AY7" s="150" t="s">
        <v>529</v>
      </c>
      <c r="AZ7" s="150"/>
      <c r="BA7" s="150"/>
      <c r="BB7" s="150"/>
      <c r="BC7" s="150"/>
      <c r="BD7" s="150"/>
      <c r="BE7" s="150"/>
      <c r="BF7" s="151"/>
      <c r="BG7" s="151"/>
      <c r="BH7" s="151"/>
      <c r="BI7" s="151"/>
      <c r="BJ7" s="151"/>
      <c r="BK7" s="151"/>
      <c r="BL7" s="151"/>
      <c r="BM7" s="151"/>
      <c r="BN7" s="151"/>
      <c r="BO7" s="151"/>
      <c r="BP7" s="151"/>
      <c r="BQ7" s="150" t="s">
        <v>529</v>
      </c>
      <c r="BR7" s="151"/>
      <c r="BS7" s="151"/>
      <c r="BT7" s="151"/>
      <c r="BU7" s="151"/>
      <c r="BV7" s="151"/>
    </row>
    <row r="8" spans="1:74" ht="19.05" x14ac:dyDescent="0.35">
      <c r="A8" s="136" t="s">
        <v>562</v>
      </c>
      <c r="B8" s="136" t="s">
        <v>537</v>
      </c>
      <c r="C8" s="136" t="s">
        <v>25</v>
      </c>
      <c r="D8" s="136">
        <v>140</v>
      </c>
      <c r="E8" s="152">
        <v>2</v>
      </c>
      <c r="F8" s="152">
        <v>1</v>
      </c>
      <c r="G8" s="152"/>
      <c r="H8" s="136"/>
      <c r="I8" s="136"/>
      <c r="J8" s="137" t="s">
        <v>529</v>
      </c>
      <c r="K8" s="136"/>
      <c r="L8" s="136"/>
      <c r="M8" s="136"/>
      <c r="N8" s="136"/>
      <c r="O8" s="136"/>
      <c r="P8" s="136"/>
      <c r="Q8" s="136"/>
      <c r="R8" s="136"/>
      <c r="S8" s="136"/>
      <c r="U8" s="136"/>
      <c r="V8" s="136"/>
      <c r="X8" s="137" t="s">
        <v>529</v>
      </c>
      <c r="Y8" s="136"/>
      <c r="AA8" s="152">
        <v>2</v>
      </c>
      <c r="AB8" s="136"/>
      <c r="AC8" s="136"/>
      <c r="AD8" s="137" t="s">
        <v>529</v>
      </c>
      <c r="AE8" s="136"/>
      <c r="AF8" s="136"/>
      <c r="AG8" s="136"/>
      <c r="AH8" s="136"/>
      <c r="AI8" s="136"/>
      <c r="AJ8" s="136"/>
      <c r="AK8" s="136"/>
      <c r="AL8" s="136"/>
      <c r="AM8" s="136"/>
      <c r="AN8" s="136"/>
      <c r="AO8" s="136"/>
      <c r="AQ8" s="150"/>
      <c r="AR8" s="150"/>
      <c r="AS8" s="150"/>
      <c r="AT8" s="150"/>
      <c r="AU8" s="150"/>
      <c r="AV8" s="150"/>
      <c r="AW8" s="150"/>
      <c r="AX8" s="150"/>
      <c r="AY8" s="150" t="s">
        <v>529</v>
      </c>
      <c r="AZ8" s="150"/>
      <c r="BA8" s="150"/>
      <c r="BB8" s="150"/>
      <c r="BC8" s="150"/>
      <c r="BD8" s="150"/>
      <c r="BE8" s="150"/>
      <c r="BF8" s="151"/>
      <c r="BG8" s="151"/>
      <c r="BH8" s="151"/>
      <c r="BI8" s="151"/>
      <c r="BJ8" s="151"/>
      <c r="BK8" s="151"/>
      <c r="BL8" s="151"/>
      <c r="BM8" s="151"/>
      <c r="BN8" s="151"/>
      <c r="BO8" s="151"/>
      <c r="BP8" s="151"/>
      <c r="BQ8" s="150" t="s">
        <v>529</v>
      </c>
      <c r="BR8" s="151"/>
      <c r="BS8" s="151"/>
      <c r="BT8" s="151"/>
      <c r="BU8" s="151"/>
      <c r="BV8" s="151"/>
    </row>
    <row r="9" spans="1:74" ht="19.05" x14ac:dyDescent="0.35">
      <c r="A9" s="136" t="s">
        <v>562</v>
      </c>
      <c r="B9" s="136" t="s">
        <v>537</v>
      </c>
      <c r="C9" s="136" t="s">
        <v>527</v>
      </c>
      <c r="D9" s="136">
        <v>930</v>
      </c>
      <c r="E9" s="152">
        <v>4</v>
      </c>
      <c r="F9" s="152">
        <v>1</v>
      </c>
      <c r="G9" s="152"/>
      <c r="H9" s="136"/>
      <c r="I9" s="136"/>
      <c r="J9" s="136"/>
      <c r="K9" s="137" t="s">
        <v>529</v>
      </c>
      <c r="L9" s="136"/>
      <c r="M9" s="137"/>
      <c r="N9" s="136"/>
      <c r="O9" s="136"/>
      <c r="P9" s="136"/>
      <c r="Q9" s="136"/>
      <c r="R9" s="136"/>
      <c r="S9" s="136"/>
      <c r="U9" s="136"/>
      <c r="V9" s="137" t="s">
        <v>529</v>
      </c>
      <c r="W9" s="136"/>
      <c r="X9" s="136"/>
      <c r="Y9" s="136"/>
      <c r="AA9" s="152">
        <v>4</v>
      </c>
      <c r="AB9" s="136"/>
      <c r="AC9" s="136"/>
      <c r="AD9" s="136"/>
      <c r="AE9" s="137" t="s">
        <v>529</v>
      </c>
      <c r="AF9" s="136"/>
      <c r="AG9" s="136"/>
      <c r="AH9" s="136"/>
      <c r="AI9" s="136"/>
      <c r="AJ9" s="136"/>
      <c r="AK9" s="136"/>
      <c r="AL9" s="136"/>
      <c r="AM9" s="136"/>
      <c r="AN9" s="136"/>
      <c r="AO9" s="136"/>
      <c r="AQ9" s="150"/>
      <c r="AR9" s="150"/>
      <c r="AS9" s="150"/>
      <c r="AT9" s="150"/>
      <c r="AU9" s="150"/>
      <c r="AV9" s="150"/>
      <c r="AW9" s="150"/>
      <c r="AX9" s="150"/>
      <c r="AY9" s="150"/>
      <c r="AZ9" s="150" t="s">
        <v>529</v>
      </c>
      <c r="BA9" s="150" t="s">
        <v>529</v>
      </c>
      <c r="BB9" s="150"/>
      <c r="BC9" s="150"/>
      <c r="BD9" s="150"/>
      <c r="BE9" s="150"/>
      <c r="BF9" s="151"/>
      <c r="BG9" s="151"/>
      <c r="BH9" s="151"/>
      <c r="BI9" s="151"/>
      <c r="BJ9" s="151"/>
      <c r="BK9" s="151"/>
      <c r="BL9" s="151"/>
      <c r="BM9" s="151"/>
      <c r="BN9" s="151"/>
      <c r="BO9" s="151"/>
      <c r="BP9" s="151"/>
      <c r="BQ9" s="150" t="s">
        <v>529</v>
      </c>
      <c r="BR9" s="151"/>
      <c r="BS9" s="151"/>
      <c r="BT9" s="151"/>
      <c r="BU9" s="151"/>
      <c r="BV9" s="151"/>
    </row>
    <row r="10" spans="1:74" ht="19.05" x14ac:dyDescent="0.35">
      <c r="A10" s="136" t="s">
        <v>562</v>
      </c>
      <c r="B10" s="136" t="s">
        <v>537</v>
      </c>
      <c r="C10" s="136" t="s">
        <v>538</v>
      </c>
      <c r="D10" s="136">
        <v>275</v>
      </c>
      <c r="E10" s="152">
        <v>1</v>
      </c>
      <c r="F10" s="152"/>
      <c r="G10" s="152"/>
      <c r="H10" s="136"/>
      <c r="I10" s="136"/>
      <c r="J10" s="136"/>
      <c r="K10" s="136"/>
      <c r="L10" s="136"/>
      <c r="M10" s="136"/>
      <c r="N10" s="136"/>
      <c r="O10" s="136"/>
      <c r="P10" s="136"/>
      <c r="Q10" s="136"/>
      <c r="R10" s="136"/>
      <c r="S10" s="136"/>
      <c r="U10" s="136"/>
      <c r="V10" s="136"/>
      <c r="W10" s="136"/>
      <c r="X10" s="136"/>
      <c r="Y10" s="136"/>
      <c r="AA10" s="152"/>
      <c r="AB10" s="136"/>
      <c r="AC10" s="136"/>
      <c r="AD10" s="136"/>
      <c r="AE10" s="136"/>
      <c r="AF10" s="136"/>
      <c r="AG10" s="136"/>
      <c r="AH10" s="136"/>
      <c r="AI10" s="136"/>
      <c r="AJ10" s="136"/>
      <c r="AK10" s="136"/>
      <c r="AL10" s="136"/>
      <c r="AM10" s="136"/>
      <c r="AN10" s="136"/>
      <c r="AO10" s="136"/>
      <c r="AQ10" s="150"/>
      <c r="AR10" s="150"/>
      <c r="AS10" s="150"/>
      <c r="AT10" s="150"/>
      <c r="AU10" s="150"/>
      <c r="AV10" s="150"/>
      <c r="AW10" s="150"/>
      <c r="AX10" s="150"/>
      <c r="AY10" s="150"/>
      <c r="AZ10" s="150"/>
      <c r="BA10" s="150"/>
      <c r="BB10" s="150"/>
      <c r="BC10" s="150"/>
      <c r="BD10" s="150"/>
      <c r="BE10" s="150"/>
      <c r="BF10" s="151"/>
      <c r="BG10" s="151"/>
      <c r="BH10" s="151"/>
      <c r="BI10" s="151"/>
      <c r="BJ10" s="151"/>
      <c r="BK10" s="151"/>
      <c r="BL10" s="151"/>
      <c r="BM10" s="151"/>
      <c r="BN10" s="151"/>
      <c r="BO10" s="151"/>
      <c r="BP10" s="151"/>
      <c r="BQ10" s="151"/>
      <c r="BR10" s="151"/>
      <c r="BS10" s="151"/>
      <c r="BT10" s="151"/>
      <c r="BU10" s="151"/>
      <c r="BV10" s="151"/>
    </row>
    <row r="11" spans="1:74" ht="19.05" x14ac:dyDescent="0.35">
      <c r="A11" s="136" t="s">
        <v>562</v>
      </c>
      <c r="B11" s="136" t="s">
        <v>539</v>
      </c>
      <c r="C11" s="136" t="s">
        <v>24</v>
      </c>
      <c r="D11" s="136">
        <v>310</v>
      </c>
      <c r="E11" s="152">
        <v>2</v>
      </c>
      <c r="F11" s="152"/>
      <c r="G11" s="152"/>
      <c r="H11" s="136"/>
      <c r="I11" s="136"/>
      <c r="J11" s="136"/>
      <c r="K11" s="136"/>
      <c r="L11" s="136"/>
      <c r="M11" s="136"/>
      <c r="N11" s="136"/>
      <c r="O11" s="136"/>
      <c r="P11" s="136"/>
      <c r="Q11" s="137" t="s">
        <v>529</v>
      </c>
      <c r="R11" s="136"/>
      <c r="S11" s="136"/>
      <c r="U11" s="136"/>
      <c r="V11" s="137" t="s">
        <v>529</v>
      </c>
      <c r="W11" s="136"/>
      <c r="X11" s="136"/>
      <c r="Y11" s="136"/>
      <c r="AA11" s="152">
        <v>2</v>
      </c>
      <c r="AB11" s="136"/>
      <c r="AC11" s="136"/>
      <c r="AD11" s="136"/>
      <c r="AE11" s="136"/>
      <c r="AF11" s="136"/>
      <c r="AG11" s="136"/>
      <c r="AH11" s="136"/>
      <c r="AI11" s="136"/>
      <c r="AJ11" s="136"/>
      <c r="AK11" s="136"/>
      <c r="AL11" s="137" t="s">
        <v>529</v>
      </c>
      <c r="AM11" s="136"/>
      <c r="AN11" s="136"/>
      <c r="AO11" s="136"/>
      <c r="AQ11" s="150"/>
      <c r="AR11" s="150"/>
      <c r="AS11" s="150"/>
      <c r="AT11" s="150"/>
      <c r="AU11" s="150"/>
      <c r="AV11" s="150"/>
      <c r="AW11" s="150"/>
      <c r="AX11" s="150"/>
      <c r="AY11" s="150"/>
      <c r="AZ11" s="150"/>
      <c r="BA11" s="150"/>
      <c r="BB11" s="150"/>
      <c r="BC11" s="150"/>
      <c r="BD11" s="150"/>
      <c r="BE11" s="150"/>
      <c r="BF11" s="151"/>
      <c r="BG11" s="151"/>
      <c r="BH11" s="151"/>
      <c r="BI11" s="151"/>
      <c r="BJ11" s="151"/>
      <c r="BK11" s="151"/>
      <c r="BL11" s="151"/>
      <c r="BM11" s="151"/>
      <c r="BN11" s="151"/>
      <c r="BO11" s="151"/>
      <c r="BP11" s="151"/>
      <c r="BQ11" s="151"/>
      <c r="BR11" s="151"/>
      <c r="BS11" s="151"/>
      <c r="BT11" s="151"/>
      <c r="BU11" s="151"/>
      <c r="BV11" s="151"/>
    </row>
    <row r="12" spans="1:74" ht="19.05" x14ac:dyDescent="0.35">
      <c r="A12" s="136" t="s">
        <v>562</v>
      </c>
      <c r="B12" s="136" t="s">
        <v>541</v>
      </c>
      <c r="C12" s="136" t="s">
        <v>24</v>
      </c>
      <c r="D12" s="136">
        <v>690</v>
      </c>
      <c r="E12" s="152">
        <v>3</v>
      </c>
      <c r="F12" s="152"/>
      <c r="G12" s="152"/>
      <c r="H12" s="136"/>
      <c r="I12" s="136"/>
      <c r="J12" s="137" t="s">
        <v>529</v>
      </c>
      <c r="K12" s="136"/>
      <c r="L12" s="136"/>
      <c r="M12" s="136"/>
      <c r="N12" s="136"/>
      <c r="O12" s="136"/>
      <c r="P12" s="136"/>
      <c r="Q12" s="136"/>
      <c r="R12" s="136"/>
      <c r="S12" s="136"/>
      <c r="U12" s="136"/>
      <c r="V12" s="137" t="s">
        <v>529</v>
      </c>
      <c r="W12" s="136"/>
      <c r="X12" s="136"/>
      <c r="Y12" s="136"/>
      <c r="AA12" s="152">
        <v>3</v>
      </c>
      <c r="AB12" s="136"/>
      <c r="AC12" s="136"/>
      <c r="AD12" s="136"/>
      <c r="AE12" s="136"/>
      <c r="AF12" s="136"/>
      <c r="AG12" s="136"/>
      <c r="AH12" s="137" t="s">
        <v>529</v>
      </c>
      <c r="AI12" s="136"/>
      <c r="AJ12" s="136"/>
      <c r="AK12" s="136"/>
      <c r="AL12" s="136"/>
      <c r="AM12" s="136"/>
      <c r="AN12" s="136"/>
      <c r="AO12" s="136"/>
      <c r="AQ12" s="150"/>
      <c r="AR12" s="150"/>
      <c r="AS12" s="150"/>
      <c r="AT12" s="150"/>
      <c r="AU12" s="150"/>
      <c r="AV12" s="150"/>
      <c r="AW12" s="150"/>
      <c r="AX12" s="150"/>
      <c r="AY12" s="150"/>
      <c r="AZ12" s="150"/>
      <c r="BA12" s="150"/>
      <c r="BB12" s="150"/>
      <c r="BC12" s="150"/>
      <c r="BD12" s="150"/>
      <c r="BE12" s="150"/>
      <c r="BF12" s="151"/>
      <c r="BG12" s="151"/>
      <c r="BH12" s="151"/>
      <c r="BI12" s="151"/>
      <c r="BJ12" s="151"/>
      <c r="BK12" s="151"/>
      <c r="BL12" s="151"/>
      <c r="BM12" s="151"/>
      <c r="BN12" s="151"/>
      <c r="BO12" s="151"/>
      <c r="BP12" s="151"/>
      <c r="BQ12" s="151"/>
      <c r="BR12" s="151"/>
      <c r="BS12" s="151"/>
      <c r="BT12" s="151"/>
      <c r="BU12" s="151"/>
      <c r="BV12" s="151"/>
    </row>
    <row r="13" spans="1:74" ht="19.05" x14ac:dyDescent="0.35">
      <c r="A13" s="136" t="s">
        <v>562</v>
      </c>
      <c r="B13" s="136" t="s">
        <v>542</v>
      </c>
      <c r="C13" s="136" t="s">
        <v>24</v>
      </c>
      <c r="D13" s="136">
        <v>310</v>
      </c>
      <c r="E13" s="152">
        <v>3</v>
      </c>
      <c r="F13" s="152"/>
      <c r="G13" s="152"/>
      <c r="H13" s="136"/>
      <c r="I13" s="136"/>
      <c r="J13" s="137" t="s">
        <v>529</v>
      </c>
      <c r="K13" s="136"/>
      <c r="L13" s="136"/>
      <c r="M13" s="136"/>
      <c r="N13" s="136"/>
      <c r="O13" s="136"/>
      <c r="P13" s="136"/>
      <c r="Q13" s="136"/>
      <c r="R13" s="136"/>
      <c r="S13" s="136"/>
      <c r="U13" s="136"/>
      <c r="V13" s="137" t="s">
        <v>529</v>
      </c>
      <c r="W13" s="136"/>
      <c r="X13" s="136"/>
      <c r="Y13" s="136"/>
      <c r="AA13" s="152">
        <v>2</v>
      </c>
      <c r="AB13" s="136"/>
      <c r="AC13" s="136"/>
      <c r="AD13" s="136"/>
      <c r="AE13" s="136"/>
      <c r="AF13" s="136"/>
      <c r="AG13" s="136"/>
      <c r="AH13" s="136"/>
      <c r="AI13" s="136"/>
      <c r="AJ13" s="136"/>
      <c r="AK13" s="136"/>
      <c r="AL13" s="136"/>
      <c r="AM13" s="136"/>
      <c r="AN13" s="136"/>
      <c r="AO13" s="137" t="s">
        <v>529</v>
      </c>
      <c r="AQ13" s="150"/>
      <c r="AR13" s="150"/>
      <c r="AS13" s="150"/>
      <c r="AT13" s="150"/>
      <c r="AU13" s="150"/>
      <c r="AV13" s="150"/>
      <c r="AW13" s="150"/>
      <c r="AX13" s="150"/>
      <c r="AY13" s="150"/>
      <c r="AZ13" s="150"/>
      <c r="BA13" s="150"/>
      <c r="BB13" s="150"/>
      <c r="BC13" s="150"/>
      <c r="BD13" s="150"/>
      <c r="BE13" s="150"/>
      <c r="BF13" s="151"/>
      <c r="BG13" s="151"/>
      <c r="BH13" s="151"/>
      <c r="BI13" s="151"/>
      <c r="BJ13" s="151"/>
      <c r="BK13" s="151"/>
      <c r="BL13" s="151"/>
      <c r="BM13" s="151"/>
      <c r="BN13" s="151"/>
      <c r="BO13" s="151"/>
      <c r="BP13" s="151"/>
      <c r="BQ13" s="151"/>
      <c r="BR13" s="151"/>
      <c r="BS13" s="151"/>
      <c r="BT13" s="151"/>
      <c r="BU13" s="151"/>
      <c r="BV13" s="151"/>
    </row>
    <row r="14" spans="1:74" ht="19.05" x14ac:dyDescent="0.35">
      <c r="A14" s="136" t="s">
        <v>562</v>
      </c>
      <c r="B14" s="136" t="s">
        <v>543</v>
      </c>
      <c r="C14" s="136" t="s">
        <v>25</v>
      </c>
      <c r="D14" s="136">
        <v>285</v>
      </c>
      <c r="E14" s="152">
        <v>2</v>
      </c>
      <c r="F14" s="152"/>
      <c r="G14" s="152"/>
      <c r="H14" s="136"/>
      <c r="I14" s="136"/>
      <c r="J14" s="137" t="s">
        <v>529</v>
      </c>
      <c r="K14" s="136"/>
      <c r="L14" s="136"/>
      <c r="M14" s="136"/>
      <c r="N14" s="136"/>
      <c r="O14" s="136"/>
      <c r="P14" s="136"/>
      <c r="Q14" s="136"/>
      <c r="R14" s="136"/>
      <c r="S14" s="136"/>
      <c r="U14" s="136"/>
      <c r="V14" s="137" t="s">
        <v>529</v>
      </c>
      <c r="W14" s="136"/>
      <c r="X14" s="136"/>
      <c r="Y14" s="136"/>
      <c r="AA14" s="152">
        <v>2</v>
      </c>
      <c r="AB14" s="136"/>
      <c r="AC14" s="136"/>
      <c r="AD14" s="136"/>
      <c r="AE14" s="136"/>
      <c r="AF14" s="136"/>
      <c r="AG14" s="136"/>
      <c r="AH14" s="137" t="s">
        <v>529</v>
      </c>
      <c r="AI14" s="136"/>
      <c r="AJ14" s="136"/>
      <c r="AK14" s="136"/>
      <c r="AL14" s="136"/>
      <c r="AM14" s="136"/>
      <c r="AN14" s="136"/>
      <c r="AO14" s="136"/>
      <c r="AQ14" s="150"/>
      <c r="AR14" s="150"/>
      <c r="AS14" s="150"/>
      <c r="AT14" s="150"/>
      <c r="AU14" s="150"/>
      <c r="AV14" s="150"/>
      <c r="AW14" s="150"/>
      <c r="AX14" s="150"/>
      <c r="AY14" s="150"/>
      <c r="AZ14" s="150"/>
      <c r="BA14" s="150"/>
      <c r="BB14" s="150"/>
      <c r="BC14" s="150"/>
      <c r="BD14" s="150"/>
      <c r="BE14" s="150"/>
      <c r="BF14" s="151"/>
      <c r="BG14" s="151"/>
      <c r="BH14" s="151"/>
      <c r="BI14" s="151"/>
      <c r="BJ14" s="151"/>
      <c r="BK14" s="151"/>
      <c r="BL14" s="151"/>
      <c r="BM14" s="151"/>
      <c r="BN14" s="151"/>
      <c r="BO14" s="151"/>
      <c r="BP14" s="151"/>
      <c r="BQ14" s="151"/>
      <c r="BR14" s="151"/>
      <c r="BS14" s="151"/>
      <c r="BT14" s="151"/>
      <c r="BU14" s="151"/>
      <c r="BV14" s="151"/>
    </row>
    <row r="15" spans="1:74" ht="19.05" x14ac:dyDescent="0.35">
      <c r="A15" s="136" t="s">
        <v>562</v>
      </c>
      <c r="B15" s="136" t="s">
        <v>554</v>
      </c>
      <c r="C15" s="136" t="s">
        <v>24</v>
      </c>
      <c r="D15" s="136">
        <v>800</v>
      </c>
      <c r="E15" s="152"/>
      <c r="F15" s="152"/>
      <c r="G15" s="152"/>
      <c r="H15" s="136"/>
      <c r="I15" s="136"/>
      <c r="J15" s="136"/>
      <c r="K15" s="136"/>
      <c r="L15" s="136"/>
      <c r="M15" s="136"/>
      <c r="N15" s="136"/>
      <c r="O15" s="136"/>
      <c r="P15" s="136"/>
      <c r="Q15" s="136"/>
      <c r="R15" s="136"/>
      <c r="S15" s="136"/>
      <c r="U15" s="136"/>
      <c r="V15" s="137" t="s">
        <v>529</v>
      </c>
      <c r="W15" s="136"/>
      <c r="X15" s="136"/>
      <c r="Y15" s="136"/>
      <c r="AA15" s="152"/>
      <c r="AB15" s="136"/>
      <c r="AC15" s="136"/>
      <c r="AD15" s="136"/>
      <c r="AE15" s="136"/>
      <c r="AF15" s="136"/>
      <c r="AG15" s="136"/>
      <c r="AH15" s="136"/>
      <c r="AI15" s="136"/>
      <c r="AJ15" s="136"/>
      <c r="AK15" s="136"/>
      <c r="AL15" s="136"/>
      <c r="AM15" s="136"/>
      <c r="AN15" s="136"/>
      <c r="AO15" s="136"/>
      <c r="AQ15" s="150"/>
      <c r="AR15" s="150"/>
      <c r="AS15" s="150"/>
      <c r="AT15" s="150"/>
      <c r="AU15" s="150"/>
      <c r="AV15" s="150"/>
      <c r="AW15" s="150"/>
      <c r="AX15" s="150"/>
      <c r="AY15" s="150"/>
      <c r="AZ15" s="150"/>
      <c r="BA15" s="150"/>
      <c r="BB15" s="150"/>
      <c r="BC15" s="150"/>
      <c r="BD15" s="150"/>
      <c r="BE15" s="150"/>
      <c r="BF15" s="151"/>
      <c r="BG15" s="151"/>
      <c r="BH15" s="151"/>
      <c r="BI15" s="151"/>
      <c r="BJ15" s="151"/>
      <c r="BK15" s="151"/>
      <c r="BL15" s="151"/>
      <c r="BM15" s="151"/>
      <c r="BN15" s="151"/>
      <c r="BO15" s="151"/>
      <c r="BP15" s="151"/>
      <c r="BQ15" s="151"/>
      <c r="BR15" s="151"/>
      <c r="BS15" s="151"/>
      <c r="BT15" s="151"/>
      <c r="BU15" s="151"/>
      <c r="BV15" s="151"/>
    </row>
    <row r="16" spans="1:74" ht="19.05" x14ac:dyDescent="0.35">
      <c r="A16" s="136" t="s">
        <v>562</v>
      </c>
      <c r="B16" s="136" t="s">
        <v>554</v>
      </c>
      <c r="C16" s="136" t="s">
        <v>25</v>
      </c>
      <c r="D16" s="136">
        <v>800</v>
      </c>
      <c r="E16" s="152"/>
      <c r="F16" s="152"/>
      <c r="G16" s="152"/>
      <c r="H16" s="136"/>
      <c r="I16" s="136"/>
      <c r="J16" s="136"/>
      <c r="K16" s="136"/>
      <c r="L16" s="136"/>
      <c r="M16" s="136"/>
      <c r="N16" s="136"/>
      <c r="O16" s="136"/>
      <c r="P16" s="136"/>
      <c r="Q16" s="136"/>
      <c r="R16" s="136"/>
      <c r="S16" s="136"/>
      <c r="U16" s="136"/>
      <c r="V16" s="137" t="s">
        <v>529</v>
      </c>
      <c r="W16" s="136"/>
      <c r="X16" s="136"/>
      <c r="Y16" s="136"/>
      <c r="AA16" s="152"/>
      <c r="AB16" s="136"/>
      <c r="AC16" s="136"/>
      <c r="AD16" s="136"/>
      <c r="AE16" s="136"/>
      <c r="AF16" s="136"/>
      <c r="AG16" s="136"/>
      <c r="AH16" s="136"/>
      <c r="AI16" s="136"/>
      <c r="AJ16" s="136"/>
      <c r="AK16" s="136"/>
      <c r="AL16" s="136"/>
      <c r="AM16" s="136"/>
      <c r="AN16" s="136"/>
      <c r="AO16" s="136"/>
      <c r="AQ16" s="150"/>
      <c r="AR16" s="150"/>
      <c r="AS16" s="150"/>
      <c r="AT16" s="150"/>
      <c r="AU16" s="150"/>
      <c r="AV16" s="150"/>
      <c r="AW16" s="150"/>
      <c r="AX16" s="150"/>
      <c r="AY16" s="150"/>
      <c r="AZ16" s="150"/>
      <c r="BA16" s="150"/>
      <c r="BB16" s="150"/>
      <c r="BC16" s="150"/>
      <c r="BD16" s="150"/>
      <c r="BE16" s="150"/>
      <c r="BF16" s="151"/>
      <c r="BG16" s="151"/>
      <c r="BH16" s="151"/>
      <c r="BI16" s="151"/>
      <c r="BJ16" s="151"/>
      <c r="BK16" s="151"/>
      <c r="BL16" s="151"/>
      <c r="BM16" s="151"/>
      <c r="BN16" s="151"/>
      <c r="BO16" s="151"/>
      <c r="BP16" s="151"/>
      <c r="BQ16" s="151"/>
      <c r="BR16" s="151"/>
      <c r="BS16" s="151"/>
      <c r="BT16" s="151"/>
      <c r="BU16" s="151"/>
      <c r="BV16" s="151"/>
    </row>
    <row r="17" spans="1:74" ht="19.05" x14ac:dyDescent="0.35">
      <c r="A17" s="136" t="s">
        <v>562</v>
      </c>
      <c r="B17" s="136" t="s">
        <v>555</v>
      </c>
      <c r="C17" s="136" t="s">
        <v>24</v>
      </c>
      <c r="D17" s="136">
        <v>300</v>
      </c>
      <c r="E17" s="152"/>
      <c r="F17" s="152"/>
      <c r="G17" s="152"/>
      <c r="H17" s="136"/>
      <c r="I17" s="136"/>
      <c r="J17" s="136"/>
      <c r="K17" s="136"/>
      <c r="L17" s="136"/>
      <c r="M17" s="136"/>
      <c r="N17" s="136"/>
      <c r="O17" s="136"/>
      <c r="P17" s="136"/>
      <c r="Q17" s="136"/>
      <c r="R17" s="136"/>
      <c r="S17" s="136"/>
      <c r="U17" s="136"/>
      <c r="V17" s="137" t="s">
        <v>529</v>
      </c>
      <c r="W17" s="136"/>
      <c r="X17" s="136"/>
      <c r="Y17" s="136"/>
      <c r="AA17" s="152"/>
      <c r="AB17" s="136"/>
      <c r="AC17" s="136"/>
      <c r="AD17" s="136"/>
      <c r="AE17" s="136"/>
      <c r="AF17" s="136"/>
      <c r="AG17" s="136"/>
      <c r="AH17" s="136"/>
      <c r="AI17" s="136"/>
      <c r="AJ17" s="136"/>
      <c r="AK17" s="136"/>
      <c r="AL17" s="136"/>
      <c r="AM17" s="136"/>
      <c r="AN17" s="136"/>
      <c r="AO17" s="136"/>
      <c r="AQ17" s="150"/>
      <c r="AR17" s="150"/>
      <c r="AS17" s="150"/>
      <c r="AT17" s="150"/>
      <c r="AU17" s="150"/>
      <c r="AV17" s="150"/>
      <c r="AW17" s="150"/>
      <c r="AX17" s="150"/>
      <c r="AY17" s="150"/>
      <c r="AZ17" s="150"/>
      <c r="BA17" s="150"/>
      <c r="BB17" s="150"/>
      <c r="BC17" s="150"/>
      <c r="BD17" s="150"/>
      <c r="BE17" s="150"/>
      <c r="BF17" s="151"/>
      <c r="BG17" s="151"/>
      <c r="BH17" s="151"/>
      <c r="BI17" s="151"/>
      <c r="BJ17" s="151"/>
      <c r="BK17" s="151"/>
      <c r="BL17" s="151"/>
      <c r="BM17" s="151"/>
      <c r="BN17" s="151"/>
      <c r="BO17" s="151"/>
      <c r="BP17" s="151"/>
      <c r="BQ17" s="151"/>
      <c r="BR17" s="151"/>
      <c r="BS17" s="151"/>
      <c r="BT17" s="151"/>
      <c r="BU17" s="151"/>
      <c r="BV17" s="151"/>
    </row>
    <row r="18" spans="1:74" ht="19.05" x14ac:dyDescent="0.35">
      <c r="A18" s="136" t="s">
        <v>562</v>
      </c>
      <c r="B18" s="136" t="s">
        <v>555</v>
      </c>
      <c r="C18" s="136" t="s">
        <v>527</v>
      </c>
      <c r="D18" s="136">
        <v>350</v>
      </c>
      <c r="E18" s="152"/>
      <c r="F18" s="152"/>
      <c r="G18" s="152"/>
      <c r="H18" s="136"/>
      <c r="I18" s="136"/>
      <c r="J18" s="136"/>
      <c r="K18" s="136"/>
      <c r="L18" s="136"/>
      <c r="M18" s="136"/>
      <c r="N18" s="136"/>
      <c r="O18" s="136"/>
      <c r="P18" s="136"/>
      <c r="Q18" s="136"/>
      <c r="R18" s="136"/>
      <c r="S18" s="136"/>
      <c r="U18" s="136"/>
      <c r="V18" s="137" t="s">
        <v>529</v>
      </c>
      <c r="W18" s="136"/>
      <c r="X18" s="136"/>
      <c r="Y18" s="136"/>
      <c r="AA18" s="152"/>
      <c r="AB18" s="136"/>
      <c r="AC18" s="136"/>
      <c r="AD18" s="136"/>
      <c r="AE18" s="136"/>
      <c r="AF18" s="136"/>
      <c r="AG18" s="136"/>
      <c r="AH18" s="136"/>
      <c r="AI18" s="136"/>
      <c r="AJ18" s="136"/>
      <c r="AK18" s="136"/>
      <c r="AL18" s="136"/>
      <c r="AM18" s="136"/>
      <c r="AN18" s="136"/>
      <c r="AO18" s="136"/>
      <c r="AQ18" s="150"/>
      <c r="AR18" s="150"/>
      <c r="AS18" s="150"/>
      <c r="AT18" s="150"/>
      <c r="AU18" s="150"/>
      <c r="AV18" s="150"/>
      <c r="AW18" s="150"/>
      <c r="AX18" s="150"/>
      <c r="AY18" s="150"/>
      <c r="AZ18" s="150"/>
      <c r="BA18" s="150"/>
      <c r="BB18" s="150"/>
      <c r="BC18" s="150"/>
      <c r="BD18" s="150"/>
      <c r="BE18" s="150"/>
      <c r="BF18" s="151"/>
      <c r="BG18" s="151"/>
      <c r="BH18" s="151"/>
      <c r="BI18" s="151"/>
      <c r="BJ18" s="151"/>
      <c r="BK18" s="151"/>
      <c r="BL18" s="151"/>
      <c r="BM18" s="151"/>
      <c r="BN18" s="151"/>
      <c r="BO18" s="151"/>
      <c r="BP18" s="151"/>
      <c r="BQ18" s="151"/>
      <c r="BR18" s="151"/>
      <c r="BS18" s="151"/>
      <c r="BT18" s="151"/>
      <c r="BU18" s="151"/>
      <c r="BV18" s="151"/>
    </row>
    <row r="19" spans="1:74" ht="19.05" x14ac:dyDescent="0.35">
      <c r="A19" s="136" t="s">
        <v>562</v>
      </c>
      <c r="B19" s="136" t="s">
        <v>558</v>
      </c>
      <c r="C19" s="136" t="s">
        <v>24</v>
      </c>
      <c r="D19" s="136">
        <v>600</v>
      </c>
      <c r="E19" s="152">
        <v>3</v>
      </c>
      <c r="F19" s="152"/>
      <c r="G19" s="152"/>
      <c r="H19" s="136"/>
      <c r="I19" s="136"/>
      <c r="J19" s="136"/>
      <c r="K19" s="136"/>
      <c r="L19" s="136"/>
      <c r="M19" s="136"/>
      <c r="N19" s="136"/>
      <c r="O19" s="136"/>
      <c r="P19" s="136"/>
      <c r="Q19" s="136"/>
      <c r="R19" s="136"/>
      <c r="S19" s="137" t="s">
        <v>529</v>
      </c>
      <c r="U19" s="136"/>
      <c r="V19" s="136"/>
      <c r="W19" s="136"/>
      <c r="X19" s="136"/>
      <c r="Y19" s="136"/>
      <c r="AA19" s="152"/>
      <c r="AB19" s="136"/>
      <c r="AC19" s="136"/>
      <c r="AD19" s="136"/>
      <c r="AE19" s="136"/>
      <c r="AF19" s="136"/>
      <c r="AG19" s="136"/>
      <c r="AH19" s="136"/>
      <c r="AI19" s="136"/>
      <c r="AJ19" s="136"/>
      <c r="AK19" s="136"/>
      <c r="AL19" s="136"/>
      <c r="AM19" s="136"/>
      <c r="AN19" s="136"/>
      <c r="AO19" s="136"/>
      <c r="AQ19" s="150"/>
      <c r="AR19" s="150"/>
      <c r="AS19" s="150"/>
      <c r="AT19" s="150"/>
      <c r="AU19" s="150"/>
      <c r="AV19" s="150"/>
      <c r="AW19" s="150"/>
      <c r="AX19" s="150"/>
      <c r="AY19" s="150"/>
      <c r="AZ19" s="150"/>
      <c r="BA19" s="150"/>
      <c r="BB19" s="150"/>
      <c r="BC19" s="150"/>
      <c r="BD19" s="150"/>
      <c r="BE19" s="150"/>
      <c r="BF19" s="151"/>
      <c r="BG19" s="151"/>
      <c r="BH19" s="151"/>
      <c r="BI19" s="151"/>
      <c r="BJ19" s="151"/>
      <c r="BK19" s="151"/>
      <c r="BL19" s="151"/>
      <c r="BM19" s="151"/>
      <c r="BN19" s="151"/>
      <c r="BO19" s="151"/>
      <c r="BP19" s="151"/>
      <c r="BQ19" s="151"/>
      <c r="BR19" s="151"/>
      <c r="BS19" s="151"/>
      <c r="BT19" s="151"/>
      <c r="BU19" s="151"/>
      <c r="BV19" s="151"/>
    </row>
    <row r="20" spans="1:74" ht="19.05" x14ac:dyDescent="0.35">
      <c r="A20" s="136" t="s">
        <v>563</v>
      </c>
      <c r="B20" s="136" t="s">
        <v>544</v>
      </c>
      <c r="C20" s="136" t="s">
        <v>24</v>
      </c>
      <c r="D20" s="136">
        <v>288</v>
      </c>
      <c r="E20" s="152">
        <v>2</v>
      </c>
      <c r="F20" s="152"/>
      <c r="G20" s="152"/>
      <c r="H20" s="136"/>
      <c r="I20" s="136"/>
      <c r="J20" s="137" t="s">
        <v>529</v>
      </c>
      <c r="K20" s="136"/>
      <c r="L20" s="136"/>
      <c r="M20" s="136"/>
      <c r="N20" s="136"/>
      <c r="O20" s="136"/>
      <c r="P20" s="136"/>
      <c r="Q20" s="136"/>
      <c r="R20" s="136"/>
      <c r="S20" s="136"/>
      <c r="U20" s="136"/>
      <c r="V20" s="136"/>
      <c r="W20" s="136"/>
      <c r="X20" s="136"/>
      <c r="Y20" s="137" t="s">
        <v>529</v>
      </c>
      <c r="AA20" s="152">
        <v>2</v>
      </c>
      <c r="AB20" s="136"/>
      <c r="AC20" s="136"/>
      <c r="AD20" s="136"/>
      <c r="AE20" s="136"/>
      <c r="AF20" s="136"/>
      <c r="AG20" s="136"/>
      <c r="AH20" s="137" t="s">
        <v>529</v>
      </c>
      <c r="AI20" s="136"/>
      <c r="AJ20" s="136"/>
      <c r="AK20" s="136"/>
      <c r="AL20" s="136"/>
      <c r="AM20" s="136"/>
      <c r="AN20" s="136"/>
      <c r="AO20" s="136"/>
      <c r="AQ20" s="150"/>
      <c r="AR20" s="150"/>
      <c r="AS20" s="150"/>
      <c r="AT20" s="150"/>
      <c r="AU20" s="150"/>
      <c r="AV20" s="150"/>
      <c r="AW20" s="150"/>
      <c r="AX20" s="150"/>
      <c r="AY20" s="150"/>
      <c r="AZ20" s="150"/>
      <c r="BA20" s="150"/>
      <c r="BB20" s="150"/>
      <c r="BC20" s="150"/>
      <c r="BD20" s="150"/>
      <c r="BE20" s="150"/>
      <c r="BF20" s="151"/>
      <c r="BG20" s="151"/>
      <c r="BH20" s="151"/>
      <c r="BI20" s="151"/>
      <c r="BJ20" s="151"/>
      <c r="BK20" s="151"/>
      <c r="BL20" s="151"/>
      <c r="BM20" s="151"/>
      <c r="BN20" s="151"/>
      <c r="BO20" s="151"/>
      <c r="BP20" s="151"/>
      <c r="BQ20" s="151"/>
      <c r="BR20" s="151"/>
      <c r="BS20" s="151"/>
      <c r="BT20" s="151"/>
      <c r="BU20" s="151"/>
      <c r="BV20" s="151"/>
    </row>
    <row r="21" spans="1:74" ht="19.05" x14ac:dyDescent="0.35">
      <c r="A21" s="136" t="s">
        <v>563</v>
      </c>
      <c r="B21" s="136" t="s">
        <v>544</v>
      </c>
      <c r="C21" s="136" t="s">
        <v>25</v>
      </c>
      <c r="D21" s="136">
        <v>498</v>
      </c>
      <c r="E21" s="152">
        <v>3</v>
      </c>
      <c r="F21" s="152"/>
      <c r="G21" s="152"/>
      <c r="H21" s="136"/>
      <c r="I21" s="136"/>
      <c r="J21" s="136"/>
      <c r="K21" s="136"/>
      <c r="L21" s="136"/>
      <c r="M21" s="137" t="s">
        <v>529</v>
      </c>
      <c r="N21" s="136"/>
      <c r="O21" s="136"/>
      <c r="P21" s="136"/>
      <c r="Q21" s="136"/>
      <c r="R21" s="136"/>
      <c r="S21" s="136"/>
      <c r="U21" s="136"/>
      <c r="V21" s="136"/>
      <c r="W21" s="136"/>
      <c r="X21" s="136"/>
      <c r="Y21" s="137" t="s">
        <v>529</v>
      </c>
      <c r="AA21" s="152">
        <v>3</v>
      </c>
      <c r="AB21" s="136"/>
      <c r="AC21" s="136"/>
      <c r="AD21" s="136"/>
      <c r="AE21" s="136"/>
      <c r="AF21" s="136"/>
      <c r="AG21" s="136"/>
      <c r="AH21" s="137" t="s">
        <v>529</v>
      </c>
      <c r="AI21" s="136"/>
      <c r="AJ21" s="136"/>
      <c r="AK21" s="136"/>
      <c r="AL21" s="136"/>
      <c r="AM21" s="136"/>
      <c r="AN21" s="136"/>
      <c r="AO21" s="136"/>
      <c r="AQ21" s="150"/>
      <c r="AR21" s="150"/>
      <c r="AS21" s="150"/>
      <c r="AT21" s="150"/>
      <c r="AU21" s="150"/>
      <c r="AV21" s="150"/>
      <c r="AW21" s="150"/>
      <c r="AX21" s="150"/>
      <c r="AY21" s="150"/>
      <c r="AZ21" s="150"/>
      <c r="BA21" s="150"/>
      <c r="BB21" s="150"/>
      <c r="BC21" s="150"/>
      <c r="BD21" s="150"/>
      <c r="BE21" s="150"/>
      <c r="BF21" s="151"/>
      <c r="BG21" s="151"/>
      <c r="BH21" s="151"/>
      <c r="BI21" s="151"/>
      <c r="BJ21" s="151"/>
      <c r="BK21" s="151"/>
      <c r="BL21" s="151"/>
      <c r="BM21" s="151"/>
      <c r="BN21" s="151"/>
      <c r="BO21" s="151"/>
      <c r="BP21" s="151"/>
      <c r="BQ21" s="151"/>
      <c r="BR21" s="151"/>
      <c r="BS21" s="151"/>
      <c r="BT21" s="151"/>
      <c r="BU21" s="151"/>
      <c r="BV21" s="151"/>
    </row>
    <row r="22" spans="1:74" ht="19.05" x14ac:dyDescent="0.35">
      <c r="A22" s="136" t="s">
        <v>563</v>
      </c>
      <c r="B22" s="136" t="s">
        <v>545</v>
      </c>
      <c r="C22" s="136" t="s">
        <v>546</v>
      </c>
      <c r="D22" s="136">
        <v>648</v>
      </c>
      <c r="E22" s="152">
        <v>3</v>
      </c>
      <c r="F22" s="152"/>
      <c r="G22" s="152"/>
      <c r="H22" s="136"/>
      <c r="I22" s="136"/>
      <c r="J22" s="136"/>
      <c r="K22" s="136"/>
      <c r="L22" s="136"/>
      <c r="M22" s="137" t="s">
        <v>529</v>
      </c>
      <c r="N22" s="136"/>
      <c r="O22" s="136"/>
      <c r="P22" s="136"/>
      <c r="Q22" s="136"/>
      <c r="R22" s="136"/>
      <c r="S22" s="136"/>
      <c r="U22" s="136"/>
      <c r="V22" s="136"/>
      <c r="W22" s="136"/>
      <c r="X22" s="136"/>
      <c r="Y22" s="136"/>
      <c r="AA22" s="152">
        <v>3</v>
      </c>
      <c r="AB22" s="136"/>
      <c r="AC22" s="136"/>
      <c r="AD22" s="136"/>
      <c r="AE22" s="136"/>
      <c r="AF22" s="136"/>
      <c r="AG22" s="136"/>
      <c r="AH22" s="136"/>
      <c r="AI22" s="136"/>
      <c r="AJ22" s="137" t="s">
        <v>529</v>
      </c>
      <c r="AK22" s="136"/>
      <c r="AL22" s="136"/>
      <c r="AM22" s="136"/>
      <c r="AN22" s="136"/>
      <c r="AO22" s="136"/>
      <c r="AQ22" s="150"/>
      <c r="AR22" s="150"/>
      <c r="AS22" s="150"/>
      <c r="AT22" s="150"/>
      <c r="AU22" s="150"/>
      <c r="AV22" s="150"/>
      <c r="AW22" s="150"/>
      <c r="AX22" s="150"/>
      <c r="AY22" s="150"/>
      <c r="AZ22" s="150"/>
      <c r="BA22" s="150"/>
      <c r="BB22" s="150"/>
      <c r="BC22" s="150"/>
      <c r="BD22" s="150"/>
      <c r="BE22" s="150"/>
      <c r="BF22" s="151"/>
      <c r="BG22" s="151"/>
      <c r="BH22" s="151"/>
      <c r="BI22" s="151"/>
      <c r="BJ22" s="151"/>
      <c r="BK22" s="151"/>
      <c r="BL22" s="151"/>
      <c r="BM22" s="151"/>
      <c r="BN22" s="151"/>
      <c r="BO22" s="151"/>
      <c r="BP22" s="151"/>
      <c r="BQ22" s="151"/>
      <c r="BR22" s="151"/>
      <c r="BS22" s="151"/>
      <c r="BT22" s="151"/>
      <c r="BU22" s="151"/>
      <c r="BV22" s="151"/>
    </row>
    <row r="23" spans="1:74" ht="19.05" x14ac:dyDescent="0.35">
      <c r="A23" s="136" t="s">
        <v>563</v>
      </c>
      <c r="B23" s="136" t="s">
        <v>545</v>
      </c>
      <c r="C23" s="136" t="s">
        <v>547</v>
      </c>
      <c r="D23" s="136"/>
      <c r="E23" s="152">
        <v>2</v>
      </c>
      <c r="F23" s="152"/>
      <c r="G23" s="152"/>
      <c r="H23" s="136"/>
      <c r="I23" s="136"/>
      <c r="J23" s="136"/>
      <c r="K23" s="136"/>
      <c r="L23" s="136"/>
      <c r="M23" s="136"/>
      <c r="N23" s="136"/>
      <c r="O23" s="136"/>
      <c r="P23" s="136"/>
      <c r="Q23" s="136"/>
      <c r="R23" s="137" t="s">
        <v>529</v>
      </c>
      <c r="S23" s="136"/>
      <c r="U23" s="136"/>
      <c r="V23" s="136"/>
      <c r="W23" s="136"/>
      <c r="X23" s="136"/>
      <c r="Y23" s="136"/>
      <c r="AA23" s="152">
        <v>2</v>
      </c>
      <c r="AB23" s="136"/>
      <c r="AC23" s="136"/>
      <c r="AD23" s="136"/>
      <c r="AE23" s="136"/>
      <c r="AF23" s="136"/>
      <c r="AG23" s="136"/>
      <c r="AH23" s="136"/>
      <c r="AI23" s="136"/>
      <c r="AJ23" s="136"/>
      <c r="AK23" s="137" t="s">
        <v>529</v>
      </c>
      <c r="AL23" s="136"/>
      <c r="AM23" s="136"/>
      <c r="AN23" s="136"/>
      <c r="AO23" s="136"/>
      <c r="AQ23" s="150"/>
      <c r="AR23" s="150"/>
      <c r="AS23" s="150"/>
      <c r="AT23" s="150"/>
      <c r="AU23" s="150"/>
      <c r="AV23" s="150"/>
      <c r="AW23" s="150"/>
      <c r="AX23" s="150"/>
      <c r="AY23" s="150"/>
      <c r="AZ23" s="150"/>
      <c r="BA23" s="150"/>
      <c r="BB23" s="150"/>
      <c r="BC23" s="150"/>
      <c r="BD23" s="150"/>
      <c r="BE23" s="150"/>
      <c r="BF23" s="151"/>
      <c r="BG23" s="151"/>
      <c r="BH23" s="151"/>
      <c r="BI23" s="151"/>
      <c r="BJ23" s="151"/>
      <c r="BK23" s="151"/>
      <c r="BL23" s="151"/>
      <c r="BM23" s="151"/>
      <c r="BN23" s="151"/>
      <c r="BO23" s="151"/>
      <c r="BP23" s="151"/>
      <c r="BQ23" s="151"/>
      <c r="BR23" s="151"/>
      <c r="BS23" s="151"/>
      <c r="BT23" s="151"/>
      <c r="BU23" s="151"/>
      <c r="BV23" s="151"/>
    </row>
    <row r="24" spans="1:74" ht="19.05" x14ac:dyDescent="0.35">
      <c r="A24" s="136" t="s">
        <v>563</v>
      </c>
      <c r="B24" s="136" t="s">
        <v>545</v>
      </c>
      <c r="C24" s="136" t="s">
        <v>548</v>
      </c>
      <c r="D24" s="136"/>
      <c r="E24" s="152">
        <v>3</v>
      </c>
      <c r="F24" s="152"/>
      <c r="G24" s="152"/>
      <c r="H24" s="136"/>
      <c r="I24" s="137" t="s">
        <v>529</v>
      </c>
      <c r="J24" s="136"/>
      <c r="K24" s="136"/>
      <c r="L24" s="136"/>
      <c r="M24" s="136"/>
      <c r="N24" s="136"/>
      <c r="O24" s="136"/>
      <c r="P24" s="136"/>
      <c r="Q24" s="136"/>
      <c r="R24" s="136"/>
      <c r="S24" s="136"/>
      <c r="U24" s="136"/>
      <c r="V24" s="136"/>
      <c r="W24" s="136"/>
      <c r="X24" s="136"/>
      <c r="Y24" s="136"/>
      <c r="AA24" s="152">
        <v>3</v>
      </c>
      <c r="AB24" s="136"/>
      <c r="AC24" s="136"/>
      <c r="AD24" s="136"/>
      <c r="AE24" s="136"/>
      <c r="AF24" s="136"/>
      <c r="AG24" s="136"/>
      <c r="AH24" s="136"/>
      <c r="AI24" s="136"/>
      <c r="AJ24" s="136"/>
      <c r="AK24" s="137" t="s">
        <v>529</v>
      </c>
      <c r="AL24" s="136"/>
      <c r="AM24" s="136"/>
      <c r="AN24" s="136"/>
      <c r="AO24" s="136"/>
      <c r="AQ24" s="150"/>
      <c r="AR24" s="150"/>
      <c r="AS24" s="150"/>
      <c r="AT24" s="150"/>
      <c r="AU24" s="150"/>
      <c r="AV24" s="150"/>
      <c r="AW24" s="150"/>
      <c r="AX24" s="150"/>
      <c r="AY24" s="150"/>
      <c r="AZ24" s="150"/>
      <c r="BA24" s="150"/>
      <c r="BB24" s="150"/>
      <c r="BC24" s="150"/>
      <c r="BD24" s="150"/>
      <c r="BE24" s="150"/>
      <c r="BF24" s="151"/>
      <c r="BG24" s="151"/>
      <c r="BH24" s="151"/>
      <c r="BI24" s="151"/>
      <c r="BJ24" s="151"/>
      <c r="BK24" s="151"/>
      <c r="BL24" s="151"/>
      <c r="BM24" s="151"/>
      <c r="BN24" s="151"/>
      <c r="BO24" s="151"/>
      <c r="BP24" s="151"/>
      <c r="BQ24" s="151"/>
      <c r="BR24" s="151"/>
      <c r="BS24" s="151"/>
      <c r="BT24" s="151"/>
      <c r="BU24" s="151"/>
      <c r="BV24" s="151"/>
    </row>
    <row r="25" spans="1:74" ht="19.05" x14ac:dyDescent="0.35">
      <c r="A25" s="136" t="s">
        <v>563</v>
      </c>
      <c r="B25" s="136" t="s">
        <v>556</v>
      </c>
      <c r="C25" s="136" t="s">
        <v>24</v>
      </c>
      <c r="D25" s="136">
        <v>1500</v>
      </c>
      <c r="E25" s="152"/>
      <c r="F25" s="152"/>
      <c r="G25" s="152"/>
      <c r="H25" s="136"/>
      <c r="I25" s="136"/>
      <c r="J25" s="136"/>
      <c r="K25" s="136"/>
      <c r="L25" s="136"/>
      <c r="M25" s="136"/>
      <c r="N25" s="136"/>
      <c r="O25" s="136"/>
      <c r="P25" s="136"/>
      <c r="Q25" s="136"/>
      <c r="R25" s="136"/>
      <c r="S25" s="136"/>
      <c r="U25" s="136"/>
      <c r="V25" s="136"/>
      <c r="W25" s="136"/>
      <c r="X25" s="136"/>
      <c r="Y25" s="136"/>
      <c r="AA25" s="152"/>
      <c r="AB25" s="136"/>
      <c r="AC25" s="136"/>
      <c r="AD25" s="136"/>
      <c r="AE25" s="136"/>
      <c r="AF25" s="136"/>
      <c r="AG25" s="136"/>
      <c r="AH25" s="136"/>
      <c r="AI25" s="136"/>
      <c r="AJ25" s="136"/>
      <c r="AK25" s="136"/>
      <c r="AL25" s="136"/>
      <c r="AM25" s="136"/>
      <c r="AN25" s="136"/>
      <c r="AO25" s="136"/>
      <c r="AQ25" s="150"/>
      <c r="AR25" s="150"/>
      <c r="AS25" s="150"/>
      <c r="AT25" s="150"/>
      <c r="AU25" s="150"/>
      <c r="AV25" s="150"/>
      <c r="AW25" s="150"/>
      <c r="AX25" s="150"/>
      <c r="AY25" s="150"/>
      <c r="AZ25" s="150"/>
      <c r="BA25" s="150"/>
      <c r="BB25" s="150"/>
      <c r="BC25" s="150"/>
      <c r="BD25" s="150"/>
      <c r="BE25" s="150"/>
      <c r="BF25" s="151"/>
      <c r="BG25" s="151"/>
      <c r="BH25" s="151"/>
      <c r="BI25" s="151"/>
      <c r="BJ25" s="151"/>
      <c r="BK25" s="151"/>
      <c r="BL25" s="151"/>
      <c r="BM25" s="151"/>
      <c r="BN25" s="151"/>
      <c r="BO25" s="151"/>
      <c r="BP25" s="151"/>
      <c r="BQ25" s="151"/>
      <c r="BR25" s="151"/>
      <c r="BS25" s="151"/>
      <c r="BT25" s="151"/>
      <c r="BU25" s="151"/>
      <c r="BV25" s="151"/>
    </row>
    <row r="26" spans="1:74" ht="19.05" x14ac:dyDescent="0.35">
      <c r="A26" s="136" t="s">
        <v>563</v>
      </c>
      <c r="B26" s="136" t="s">
        <v>557</v>
      </c>
      <c r="C26" s="136" t="s">
        <v>24</v>
      </c>
      <c r="D26" s="136">
        <v>650</v>
      </c>
      <c r="E26" s="152">
        <v>3</v>
      </c>
      <c r="F26" s="152"/>
      <c r="G26" s="152"/>
      <c r="H26" s="136"/>
      <c r="I26" s="136"/>
      <c r="J26" s="136"/>
      <c r="K26" s="136"/>
      <c r="L26" s="136"/>
      <c r="M26" s="136"/>
      <c r="N26" s="136"/>
      <c r="O26" s="136"/>
      <c r="P26" s="136"/>
      <c r="Q26" s="136"/>
      <c r="R26" s="136"/>
      <c r="S26" s="137" t="s">
        <v>529</v>
      </c>
      <c r="U26" s="136"/>
      <c r="V26" s="136"/>
      <c r="W26" s="136"/>
      <c r="X26" s="136"/>
      <c r="Y26" s="136"/>
      <c r="AA26" s="152"/>
      <c r="AB26" s="136"/>
      <c r="AC26" s="136"/>
      <c r="AD26" s="136"/>
      <c r="AE26" s="136"/>
      <c r="AF26" s="136"/>
      <c r="AG26" s="136"/>
      <c r="AH26" s="136"/>
      <c r="AI26" s="136"/>
      <c r="AJ26" s="136"/>
      <c r="AK26" s="136"/>
      <c r="AL26" s="136"/>
      <c r="AM26" s="136"/>
      <c r="AN26" s="136"/>
      <c r="AO26" s="136"/>
      <c r="AQ26" s="150"/>
      <c r="AR26" s="150"/>
      <c r="AS26" s="150"/>
      <c r="AT26" s="150"/>
      <c r="AU26" s="150"/>
      <c r="AV26" s="150"/>
      <c r="AW26" s="150"/>
      <c r="AX26" s="150"/>
      <c r="AY26" s="150"/>
      <c r="AZ26" s="150"/>
      <c r="BA26" s="150"/>
      <c r="BB26" s="150"/>
      <c r="BC26" s="150"/>
      <c r="BD26" s="150"/>
      <c r="BE26" s="150"/>
      <c r="BF26" s="151"/>
      <c r="BG26" s="151"/>
      <c r="BH26" s="151"/>
      <c r="BI26" s="151"/>
      <c r="BJ26" s="151"/>
      <c r="BK26" s="151"/>
      <c r="BL26" s="151"/>
      <c r="BM26" s="151"/>
      <c r="BN26" s="151"/>
      <c r="BO26" s="151"/>
      <c r="BP26" s="151"/>
      <c r="BQ26" s="151"/>
      <c r="BR26" s="151"/>
      <c r="BS26" s="151"/>
      <c r="BT26" s="151"/>
      <c r="BU26" s="151"/>
      <c r="BV26" s="151"/>
    </row>
    <row r="27" spans="1:74" ht="19.05" x14ac:dyDescent="0.35">
      <c r="A27" s="136" t="s">
        <v>563</v>
      </c>
      <c r="B27" s="136" t="s">
        <v>557</v>
      </c>
      <c r="C27" s="136" t="s">
        <v>25</v>
      </c>
      <c r="D27" s="136">
        <v>650</v>
      </c>
      <c r="E27" s="152">
        <v>3</v>
      </c>
      <c r="F27" s="152"/>
      <c r="G27" s="152"/>
      <c r="H27" s="136"/>
      <c r="I27" s="136"/>
      <c r="J27" s="136"/>
      <c r="K27" s="136"/>
      <c r="L27" s="136"/>
      <c r="M27" s="136"/>
      <c r="N27" s="136"/>
      <c r="O27" s="136"/>
      <c r="P27" s="136"/>
      <c r="Q27" s="136"/>
      <c r="R27" s="136"/>
      <c r="S27" s="137" t="s">
        <v>529</v>
      </c>
      <c r="U27" s="136"/>
      <c r="V27" s="136"/>
      <c r="W27" s="136"/>
      <c r="X27" s="136"/>
      <c r="Y27" s="136"/>
      <c r="AA27" s="152"/>
      <c r="AB27" s="136"/>
      <c r="AC27" s="136"/>
      <c r="AD27" s="136"/>
      <c r="AE27" s="136"/>
      <c r="AF27" s="136"/>
      <c r="AG27" s="136"/>
      <c r="AH27" s="136"/>
      <c r="AI27" s="136"/>
      <c r="AJ27" s="136"/>
      <c r="AK27" s="136"/>
      <c r="AL27" s="136"/>
      <c r="AM27" s="136"/>
      <c r="AN27" s="136"/>
      <c r="AO27" s="136"/>
      <c r="AQ27" s="150"/>
      <c r="AR27" s="150"/>
      <c r="AS27" s="150"/>
      <c r="AT27" s="150"/>
      <c r="AU27" s="150"/>
      <c r="AV27" s="150"/>
      <c r="AW27" s="150"/>
      <c r="AX27" s="150"/>
      <c r="AY27" s="150"/>
      <c r="AZ27" s="150"/>
      <c r="BA27" s="150"/>
      <c r="BB27" s="150"/>
      <c r="BC27" s="150"/>
      <c r="BD27" s="150"/>
      <c r="BE27" s="150"/>
      <c r="BF27" s="151"/>
      <c r="BG27" s="151"/>
      <c r="BH27" s="151"/>
      <c r="BI27" s="151"/>
      <c r="BJ27" s="151"/>
      <c r="BK27" s="151"/>
      <c r="BL27" s="151"/>
      <c r="BM27" s="151"/>
      <c r="BN27" s="151"/>
      <c r="BO27" s="151"/>
      <c r="BP27" s="151"/>
      <c r="BQ27" s="151"/>
      <c r="BR27" s="151"/>
      <c r="BS27" s="151"/>
      <c r="BT27" s="151"/>
      <c r="BU27" s="151"/>
      <c r="BV27" s="151"/>
    </row>
    <row r="28" spans="1:74" ht="19.05" x14ac:dyDescent="0.35">
      <c r="A28" s="136" t="s">
        <v>561</v>
      </c>
      <c r="B28" s="136" t="s">
        <v>526</v>
      </c>
      <c r="C28" s="136" t="s">
        <v>527</v>
      </c>
      <c r="D28" s="136"/>
      <c r="E28" s="152">
        <v>1</v>
      </c>
      <c r="F28" s="152"/>
      <c r="G28" s="152"/>
      <c r="H28" s="137" t="s">
        <v>529</v>
      </c>
      <c r="I28" s="136"/>
      <c r="J28" s="136"/>
      <c r="K28" s="136"/>
      <c r="L28" s="136"/>
      <c r="M28" s="136"/>
      <c r="N28" s="136"/>
      <c r="O28" s="136"/>
      <c r="P28" s="136"/>
      <c r="Q28" s="136"/>
      <c r="R28" s="136"/>
      <c r="S28" s="136"/>
      <c r="U28" s="137" t="s">
        <v>529</v>
      </c>
      <c r="V28" s="136"/>
      <c r="W28" s="136"/>
      <c r="X28" s="136"/>
      <c r="Y28" s="136"/>
      <c r="AA28" s="153" t="s">
        <v>178</v>
      </c>
      <c r="AB28" s="136"/>
      <c r="AC28" s="136"/>
      <c r="AD28" s="136"/>
      <c r="AE28" s="136"/>
      <c r="AF28" s="136"/>
      <c r="AG28" s="136"/>
      <c r="AH28" s="136"/>
      <c r="AI28" s="136"/>
      <c r="AJ28" s="136"/>
      <c r="AK28" s="136"/>
      <c r="AL28" s="136"/>
      <c r="AM28" s="136"/>
      <c r="AN28" s="136"/>
      <c r="AO28" s="136"/>
      <c r="AQ28" s="150" t="s">
        <v>529</v>
      </c>
      <c r="AR28" s="150" t="s">
        <v>529</v>
      </c>
      <c r="AS28" s="150"/>
      <c r="AT28" s="150"/>
      <c r="AU28" s="150"/>
      <c r="AV28" s="150"/>
      <c r="AW28" s="150"/>
      <c r="AX28" s="150"/>
      <c r="AY28" s="150"/>
      <c r="AZ28" s="150"/>
      <c r="BA28" s="150"/>
      <c r="BB28" s="150"/>
      <c r="BC28" s="150"/>
      <c r="BD28" s="150"/>
      <c r="BE28" s="150"/>
      <c r="BF28" s="151" t="s">
        <v>529</v>
      </c>
      <c r="BG28" s="151" t="s">
        <v>529</v>
      </c>
      <c r="BH28" s="151"/>
      <c r="BI28" s="151"/>
      <c r="BJ28" s="151"/>
      <c r="BK28" s="151"/>
      <c r="BL28" s="151"/>
      <c r="BM28" s="151"/>
      <c r="BN28" s="151"/>
      <c r="BO28" s="151"/>
      <c r="BP28" s="151"/>
      <c r="BQ28" s="151"/>
      <c r="BR28" s="151"/>
      <c r="BS28" s="151"/>
      <c r="BT28" s="151"/>
      <c r="BU28" s="151"/>
      <c r="BV28" s="151"/>
    </row>
    <row r="29" spans="1:74" ht="19.05" x14ac:dyDescent="0.35">
      <c r="A29" s="136" t="s">
        <v>561</v>
      </c>
      <c r="B29" s="136" t="s">
        <v>526</v>
      </c>
      <c r="C29" s="136" t="s">
        <v>23</v>
      </c>
      <c r="D29" s="136"/>
      <c r="E29" s="152">
        <v>1</v>
      </c>
      <c r="F29" s="152"/>
      <c r="G29" s="152"/>
      <c r="H29" s="136"/>
      <c r="I29" s="136"/>
      <c r="J29" s="136"/>
      <c r="K29" s="136"/>
      <c r="L29" s="136"/>
      <c r="M29" s="136"/>
      <c r="N29" s="137" t="s">
        <v>529</v>
      </c>
      <c r="O29" s="136"/>
      <c r="P29" s="136"/>
      <c r="Q29" s="136"/>
      <c r="R29" s="136"/>
      <c r="S29" s="136"/>
      <c r="U29" s="136"/>
      <c r="V29" s="137" t="s">
        <v>529</v>
      </c>
      <c r="W29" s="136"/>
      <c r="X29" s="136"/>
      <c r="Y29" s="136"/>
      <c r="AA29" s="152">
        <v>1</v>
      </c>
      <c r="AB29" s="137" t="s">
        <v>529</v>
      </c>
      <c r="AC29" s="136"/>
      <c r="AD29" s="136"/>
      <c r="AE29" s="136"/>
      <c r="AF29" s="136"/>
      <c r="AG29" s="136"/>
      <c r="AH29" s="136"/>
      <c r="AI29" s="136"/>
      <c r="AJ29" s="136"/>
      <c r="AK29" s="136"/>
      <c r="AL29" s="136"/>
      <c r="AM29" s="136"/>
      <c r="AN29" s="136"/>
      <c r="AO29" s="136"/>
      <c r="AQ29" s="150"/>
      <c r="AR29" s="150"/>
      <c r="AS29" s="150"/>
      <c r="AT29" s="150"/>
      <c r="AU29" s="150"/>
      <c r="AV29" s="150"/>
      <c r="AW29" s="150"/>
      <c r="AX29" s="150"/>
      <c r="AY29" s="150"/>
      <c r="AZ29" s="150"/>
      <c r="BA29" s="150"/>
      <c r="BB29" s="150"/>
      <c r="BC29" s="150"/>
      <c r="BD29" s="150"/>
      <c r="BE29" s="150"/>
      <c r="BF29" s="151"/>
      <c r="BG29" s="151"/>
      <c r="BH29" s="151"/>
      <c r="BI29" s="151"/>
      <c r="BJ29" s="151"/>
      <c r="BK29" s="151"/>
      <c r="BL29" s="151"/>
      <c r="BM29" s="151"/>
      <c r="BN29" s="151"/>
      <c r="BO29" s="151"/>
      <c r="BP29" s="151"/>
      <c r="BQ29" s="151"/>
      <c r="BR29" s="151"/>
      <c r="BS29" s="151"/>
      <c r="BT29" s="151"/>
      <c r="BU29" s="151"/>
      <c r="BV29" s="151"/>
    </row>
    <row r="30" spans="1:74" ht="19.05" x14ac:dyDescent="0.35">
      <c r="A30" s="136" t="s">
        <v>561</v>
      </c>
      <c r="B30" s="136" t="s">
        <v>528</v>
      </c>
      <c r="C30" s="136" t="s">
        <v>24</v>
      </c>
      <c r="D30" s="136">
        <v>300</v>
      </c>
      <c r="E30" s="152">
        <v>2</v>
      </c>
      <c r="F30" s="152"/>
      <c r="G30" s="152"/>
      <c r="H30" s="136"/>
      <c r="I30" s="137" t="s">
        <v>529</v>
      </c>
      <c r="J30" s="136"/>
      <c r="K30" s="136"/>
      <c r="L30" s="136"/>
      <c r="M30" s="136"/>
      <c r="N30" s="136"/>
      <c r="O30" s="136"/>
      <c r="P30" s="136"/>
      <c r="Q30" s="136"/>
      <c r="R30" s="136"/>
      <c r="S30" s="136"/>
      <c r="U30" s="136"/>
      <c r="V30" s="137" t="s">
        <v>529</v>
      </c>
      <c r="W30" s="136"/>
      <c r="X30" s="136"/>
      <c r="Y30" s="136"/>
      <c r="AA30" s="152">
        <v>2</v>
      </c>
      <c r="AB30" s="136"/>
      <c r="AC30" s="136"/>
      <c r="AD30" s="136"/>
      <c r="AE30" s="136"/>
      <c r="AF30" s="136"/>
      <c r="AG30" s="137" t="s">
        <v>529</v>
      </c>
      <c r="AH30" s="136"/>
      <c r="AI30" s="136"/>
      <c r="AJ30" s="136"/>
      <c r="AK30" s="136"/>
      <c r="AL30" s="136"/>
      <c r="AM30" s="136"/>
      <c r="AN30" s="136"/>
      <c r="AO30" s="136"/>
      <c r="AQ30" s="150"/>
      <c r="AR30" s="150"/>
      <c r="AS30" s="150"/>
      <c r="AT30" s="150"/>
      <c r="AU30" s="150"/>
      <c r="AV30" s="150"/>
      <c r="AW30" s="150"/>
      <c r="AX30" s="150"/>
      <c r="AY30" s="150"/>
      <c r="AZ30" s="150"/>
      <c r="BA30" s="150"/>
      <c r="BB30" s="150"/>
      <c r="BC30" s="150"/>
      <c r="BD30" s="150"/>
      <c r="BE30" s="150"/>
      <c r="BF30" s="151"/>
      <c r="BG30" s="151"/>
      <c r="BH30" s="151"/>
      <c r="BI30" s="151"/>
      <c r="BJ30" s="151"/>
      <c r="BK30" s="151"/>
      <c r="BL30" s="151"/>
      <c r="BM30" s="151"/>
      <c r="BN30" s="151"/>
      <c r="BO30" s="151"/>
      <c r="BP30" s="151"/>
      <c r="BQ30" s="151"/>
      <c r="BR30" s="151"/>
      <c r="BS30" s="151"/>
      <c r="BT30" s="151"/>
      <c r="BU30" s="151"/>
      <c r="BV30" s="151"/>
    </row>
    <row r="31" spans="1:74" ht="19.05" x14ac:dyDescent="0.35">
      <c r="A31" s="136" t="s">
        <v>561</v>
      </c>
      <c r="B31" s="136" t="s">
        <v>528</v>
      </c>
      <c r="C31" s="136" t="s">
        <v>25</v>
      </c>
      <c r="D31" s="136">
        <v>300</v>
      </c>
      <c r="E31" s="152">
        <v>2</v>
      </c>
      <c r="F31" s="152"/>
      <c r="G31" s="152"/>
      <c r="H31" s="136"/>
      <c r="I31" s="137" t="s">
        <v>529</v>
      </c>
      <c r="J31" s="136"/>
      <c r="K31" s="136"/>
      <c r="L31" s="136"/>
      <c r="M31" s="136"/>
      <c r="N31" s="136"/>
      <c r="O31" s="136"/>
      <c r="P31" s="136"/>
      <c r="Q31" s="136"/>
      <c r="R31" s="136"/>
      <c r="S31" s="136"/>
      <c r="U31" s="136"/>
      <c r="V31" s="137" t="s">
        <v>529</v>
      </c>
      <c r="W31" s="136"/>
      <c r="X31" s="136"/>
      <c r="Y31" s="136"/>
      <c r="AA31" s="152">
        <v>2</v>
      </c>
      <c r="AB31" s="136"/>
      <c r="AC31" s="136"/>
      <c r="AD31" s="136"/>
      <c r="AE31" s="136"/>
      <c r="AF31" s="136"/>
      <c r="AG31" s="137" t="s">
        <v>529</v>
      </c>
      <c r="AH31" s="136"/>
      <c r="AI31" s="136"/>
      <c r="AJ31" s="136"/>
      <c r="AK31" s="136"/>
      <c r="AL31" s="136"/>
      <c r="AM31" s="136"/>
      <c r="AN31" s="136"/>
      <c r="AO31" s="136"/>
      <c r="AQ31" s="150"/>
      <c r="AR31" s="150"/>
      <c r="AS31" s="150"/>
      <c r="AT31" s="150"/>
      <c r="AU31" s="150"/>
      <c r="AV31" s="150"/>
      <c r="AW31" s="150"/>
      <c r="AX31" s="150"/>
      <c r="AY31" s="150"/>
      <c r="AZ31" s="150"/>
      <c r="BA31" s="150"/>
      <c r="BB31" s="150"/>
      <c r="BC31" s="150"/>
      <c r="BD31" s="150"/>
      <c r="BE31" s="150"/>
      <c r="BF31" s="151"/>
      <c r="BG31" s="151"/>
      <c r="BH31" s="151"/>
      <c r="BI31" s="151"/>
      <c r="BJ31" s="151"/>
      <c r="BK31" s="151"/>
      <c r="BL31" s="151"/>
      <c r="BM31" s="151"/>
      <c r="BN31" s="151"/>
      <c r="BO31" s="151"/>
      <c r="BP31" s="151"/>
      <c r="BQ31" s="151"/>
      <c r="BR31" s="151"/>
      <c r="BS31" s="151"/>
      <c r="BT31" s="151"/>
      <c r="BU31" s="151"/>
      <c r="BV31" s="151"/>
    </row>
    <row r="32" spans="1:74" ht="19.05" x14ac:dyDescent="0.35">
      <c r="A32" s="136" t="s">
        <v>561</v>
      </c>
      <c r="B32" s="136" t="s">
        <v>530</v>
      </c>
      <c r="C32" s="136" t="s">
        <v>24</v>
      </c>
      <c r="D32" s="136">
        <v>825</v>
      </c>
      <c r="E32" s="152">
        <v>4</v>
      </c>
      <c r="F32" s="152"/>
      <c r="G32" s="152"/>
      <c r="H32" s="136"/>
      <c r="I32" s="136"/>
      <c r="J32" s="136"/>
      <c r="K32" s="136"/>
      <c r="L32" s="136"/>
      <c r="M32" s="136"/>
      <c r="N32" s="136"/>
      <c r="O32" s="137" t="s">
        <v>529</v>
      </c>
      <c r="P32" s="136"/>
      <c r="Q32" s="136"/>
      <c r="R32" s="136"/>
      <c r="S32" s="136"/>
      <c r="U32" s="136"/>
      <c r="V32" s="136"/>
      <c r="W32" s="137" t="s">
        <v>529</v>
      </c>
      <c r="X32" s="136"/>
      <c r="Y32" s="136"/>
      <c r="AA32" s="152">
        <v>4</v>
      </c>
      <c r="AB32" s="136"/>
      <c r="AC32" s="136"/>
      <c r="AD32" s="136"/>
      <c r="AE32" s="136"/>
      <c r="AF32" s="137" t="s">
        <v>529</v>
      </c>
      <c r="AG32" s="136"/>
      <c r="AH32" s="136"/>
      <c r="AI32" s="136"/>
      <c r="AJ32" s="136"/>
      <c r="AK32" s="136"/>
      <c r="AL32" s="136"/>
      <c r="AM32" s="136"/>
      <c r="AN32" s="136"/>
      <c r="AO32" s="136"/>
      <c r="AQ32" s="150"/>
      <c r="AR32" s="150"/>
      <c r="AS32" s="150"/>
      <c r="AT32" s="150"/>
      <c r="AU32" s="150" t="s">
        <v>529</v>
      </c>
      <c r="AV32" s="150" t="s">
        <v>529</v>
      </c>
      <c r="AW32" s="150"/>
      <c r="AX32" s="150"/>
      <c r="AY32" s="150"/>
      <c r="AZ32" s="150"/>
      <c r="BA32" s="150"/>
      <c r="BB32" s="150"/>
      <c r="BC32" s="150"/>
      <c r="BD32" s="150"/>
      <c r="BE32" s="150"/>
      <c r="BF32" s="151"/>
      <c r="BG32" s="151"/>
      <c r="BH32" s="151"/>
      <c r="BI32" s="151" t="s">
        <v>529</v>
      </c>
      <c r="BJ32" s="151" t="s">
        <v>529</v>
      </c>
      <c r="BK32" s="151" t="s">
        <v>529</v>
      </c>
      <c r="BL32" s="151" t="s">
        <v>529</v>
      </c>
      <c r="BM32" s="151"/>
      <c r="BN32" s="151"/>
      <c r="BO32" s="151"/>
      <c r="BP32" s="151"/>
      <c r="BQ32" s="151"/>
      <c r="BR32" s="151"/>
      <c r="BS32" s="151"/>
      <c r="BT32" s="151"/>
      <c r="BU32" s="151"/>
      <c r="BV32" s="151"/>
    </row>
    <row r="33" spans="1:74" ht="19.05" x14ac:dyDescent="0.35">
      <c r="A33" s="136" t="s">
        <v>561</v>
      </c>
      <c r="B33" s="136" t="s">
        <v>531</v>
      </c>
      <c r="C33" s="136" t="s">
        <v>24</v>
      </c>
      <c r="D33" s="136">
        <v>730</v>
      </c>
      <c r="E33" s="152">
        <v>3</v>
      </c>
      <c r="F33" s="152"/>
      <c r="G33" s="152"/>
      <c r="H33" s="136"/>
      <c r="I33" s="136"/>
      <c r="J33" s="136"/>
      <c r="K33" s="136"/>
      <c r="L33" s="136"/>
      <c r="M33" s="137" t="s">
        <v>529</v>
      </c>
      <c r="N33" s="136"/>
      <c r="O33" s="136"/>
      <c r="P33" s="136"/>
      <c r="Q33" s="136"/>
      <c r="R33" s="136"/>
      <c r="S33" s="136"/>
      <c r="U33" s="136"/>
      <c r="V33" s="136"/>
      <c r="W33" s="136"/>
      <c r="X33" s="136"/>
      <c r="Y33" s="136"/>
      <c r="AA33" s="152">
        <v>3</v>
      </c>
      <c r="AB33" s="136"/>
      <c r="AC33" s="136"/>
      <c r="AD33" s="136"/>
      <c r="AE33" s="136"/>
      <c r="AF33" s="136"/>
      <c r="AG33" s="137" t="s">
        <v>529</v>
      </c>
      <c r="AH33" s="136"/>
      <c r="AI33" s="136"/>
      <c r="AJ33" s="136"/>
      <c r="AK33" s="136"/>
      <c r="AL33" s="136"/>
      <c r="AM33" s="136"/>
      <c r="AN33" s="136"/>
      <c r="AO33" s="136"/>
      <c r="AQ33" s="150"/>
      <c r="AR33" s="150"/>
      <c r="AS33" s="150"/>
      <c r="AT33" s="150"/>
      <c r="AU33" s="150"/>
      <c r="AV33" s="150"/>
      <c r="AW33" s="150" t="s">
        <v>529</v>
      </c>
      <c r="AX33" s="150" t="s">
        <v>529</v>
      </c>
      <c r="AY33" s="150"/>
      <c r="AZ33" s="150"/>
      <c r="BA33" s="150"/>
      <c r="BB33" s="150"/>
      <c r="BC33" s="150"/>
      <c r="BD33" s="150"/>
      <c r="BE33" s="150"/>
      <c r="BF33" s="151"/>
      <c r="BG33" s="151"/>
      <c r="BH33" s="151"/>
      <c r="BI33" s="151"/>
      <c r="BJ33" s="151"/>
      <c r="BK33" s="151"/>
      <c r="BL33" s="151"/>
      <c r="BM33" s="151" t="s">
        <v>529</v>
      </c>
      <c r="BN33" s="151"/>
      <c r="BO33" s="151"/>
      <c r="BP33" s="151"/>
      <c r="BQ33" s="151"/>
      <c r="BR33" s="151"/>
      <c r="BS33" s="151"/>
      <c r="BT33" s="151"/>
      <c r="BU33" s="151"/>
      <c r="BV33" s="151"/>
    </row>
    <row r="34" spans="1:74" ht="19.05" x14ac:dyDescent="0.35">
      <c r="A34" s="136" t="s">
        <v>561</v>
      </c>
      <c r="B34" s="136" t="s">
        <v>559</v>
      </c>
      <c r="C34" s="136" t="s">
        <v>24</v>
      </c>
      <c r="D34" s="136">
        <v>630</v>
      </c>
      <c r="E34" s="152">
        <v>3</v>
      </c>
      <c r="F34" s="152"/>
      <c r="G34" s="152"/>
      <c r="H34" s="136"/>
      <c r="I34" s="136"/>
      <c r="J34" s="136"/>
      <c r="K34" s="136"/>
      <c r="L34" s="136"/>
      <c r="M34" s="136"/>
      <c r="N34" s="136"/>
      <c r="O34" s="136"/>
      <c r="P34" s="136"/>
      <c r="Q34" s="136"/>
      <c r="R34" s="136"/>
      <c r="S34" s="137" t="s">
        <v>529</v>
      </c>
      <c r="U34" s="136"/>
      <c r="V34" s="136"/>
      <c r="W34" s="136"/>
      <c r="X34" s="136"/>
      <c r="Y34" s="136"/>
      <c r="AA34" s="152"/>
      <c r="AB34" s="136"/>
      <c r="AC34" s="136"/>
      <c r="AD34" s="136"/>
      <c r="AE34" s="136"/>
      <c r="AF34" s="136"/>
      <c r="AG34" s="136"/>
      <c r="AH34" s="136"/>
      <c r="AI34" s="136"/>
      <c r="AJ34" s="136"/>
      <c r="AK34" s="136"/>
      <c r="AL34" s="136"/>
      <c r="AM34" s="136"/>
      <c r="AN34" s="136"/>
      <c r="AO34" s="136"/>
      <c r="AQ34" s="150"/>
      <c r="AR34" s="150"/>
      <c r="AS34" s="150"/>
      <c r="AT34" s="150"/>
      <c r="AU34" s="150"/>
      <c r="AV34" s="150"/>
      <c r="AW34" s="150"/>
      <c r="AX34" s="150"/>
      <c r="AY34" s="150"/>
      <c r="AZ34" s="150"/>
      <c r="BA34" s="150"/>
      <c r="BB34" s="150"/>
      <c r="BC34" s="150"/>
      <c r="BD34" s="150"/>
      <c r="BE34" s="150"/>
      <c r="BF34" s="151"/>
      <c r="BG34" s="151"/>
      <c r="BH34" s="151"/>
      <c r="BI34" s="151"/>
      <c r="BJ34" s="151"/>
      <c r="BK34" s="151"/>
      <c r="BL34" s="151"/>
      <c r="BM34" s="151"/>
      <c r="BN34" s="151"/>
      <c r="BO34" s="151"/>
      <c r="BP34" s="151"/>
      <c r="BQ34" s="151"/>
      <c r="BR34" s="151"/>
      <c r="BS34" s="151"/>
      <c r="BT34" s="151"/>
      <c r="BU34" s="151"/>
      <c r="BV34" s="151"/>
    </row>
    <row r="35" spans="1:74" x14ac:dyDescent="0.25">
      <c r="A35" s="157" t="s">
        <v>570</v>
      </c>
      <c r="B35" s="157"/>
      <c r="C35" s="157"/>
      <c r="D35" s="157"/>
      <c r="E35" s="146">
        <f>SUM(E3:E34)</f>
        <v>67</v>
      </c>
      <c r="F35" s="144"/>
      <c r="G35" s="144"/>
      <c r="H35" s="145"/>
      <c r="I35" s="144">
        <f>COUNTIF(I3:I34, "•")</f>
        <v>3</v>
      </c>
      <c r="J35" s="144">
        <f t="shared" ref="J35:S35" si="0">COUNTIF(J3:J34, "•")</f>
        <v>6</v>
      </c>
      <c r="K35" s="144">
        <f t="shared" si="0"/>
        <v>2</v>
      </c>
      <c r="L35" s="144">
        <f t="shared" si="0"/>
        <v>2</v>
      </c>
      <c r="M35" s="144">
        <f t="shared" si="0"/>
        <v>3</v>
      </c>
      <c r="N35" s="144">
        <f t="shared" si="0"/>
        <v>1</v>
      </c>
      <c r="O35" s="144">
        <f t="shared" si="0"/>
        <v>1</v>
      </c>
      <c r="P35" s="144">
        <f t="shared" si="0"/>
        <v>1</v>
      </c>
      <c r="Q35" s="144">
        <f t="shared" si="0"/>
        <v>1</v>
      </c>
      <c r="R35" s="144">
        <f t="shared" si="0"/>
        <v>1</v>
      </c>
      <c r="S35" s="144">
        <f t="shared" si="0"/>
        <v>4</v>
      </c>
    </row>
  </sheetData>
  <autoFilter ref="A2:R35" xr:uid="{AF186AF0-8EF4-4623-AB15-C32E77B7D024}">
    <sortState xmlns:xlrd2="http://schemas.microsoft.com/office/spreadsheetml/2017/richdata2" ref="A3:R34">
      <sortCondition ref="A2"/>
    </sortState>
  </autoFilter>
  <mergeCells count="5">
    <mergeCell ref="A35:D35"/>
    <mergeCell ref="H1:S1"/>
    <mergeCell ref="U1:Y1"/>
    <mergeCell ref="AA1:AO1"/>
    <mergeCell ref="AQ1:BV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DA7303820E1FD438FF6A46FBCB728CA" ma:contentTypeVersion="13" ma:contentTypeDescription="Create a new document." ma:contentTypeScope="" ma:versionID="d833ab99a83e4a29897aead169ae8760">
  <xsd:schema xmlns:xsd="http://www.w3.org/2001/XMLSchema" xmlns:xs="http://www.w3.org/2001/XMLSchema" xmlns:p="http://schemas.microsoft.com/office/2006/metadata/properties" xmlns:ns2="82822ecf-06f7-46b9-add4-65600883c5e4" xmlns:ns3="8c75c918-dddb-4875-acc3-151854e0cd7d" targetNamespace="http://schemas.microsoft.com/office/2006/metadata/properties" ma:root="true" ma:fieldsID="03c1cb71659fe3d73ef538aaf39b5a0c" ns2:_="" ns3:_="">
    <xsd:import namespace="82822ecf-06f7-46b9-add4-65600883c5e4"/>
    <xsd:import namespace="8c75c918-dddb-4875-acc3-151854e0cd7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CostinUSD_x002f_kg"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822ecf-06f7-46b9-add4-65600883c5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CostinUSD_x002f_kg" ma:index="12" nillable="true" ma:displayName="Cost in USD/kg" ma:format="Dropdown" ma:internalName="CostinUSD_x002f_kg" ma:percentage="FALSE">
      <xsd:simpleType>
        <xsd:restriction base="dms:Number"/>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43890b14-0df8-462d-827d-ee3b8107f115"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c75c918-dddb-4875-acc3-151854e0cd7d"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bd80918-eb2f-43a1-ae6e-46fe8f7bdf6c}" ma:internalName="TaxCatchAll" ma:showField="CatchAllData" ma:web="8c75c918-dddb-4875-acc3-151854e0cd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stinUSD_x002f_kg xmlns="82822ecf-06f7-46b9-add4-65600883c5e4" xsi:nil="true"/>
    <TaxCatchAll xmlns="8c75c918-dddb-4875-acc3-151854e0cd7d" xsi:nil="true"/>
    <lcf76f155ced4ddcb4097134ff3c332f xmlns="82822ecf-06f7-46b9-add4-65600883c5e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8FB8092-2745-465D-870F-03EA658724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2822ecf-06f7-46b9-add4-65600883c5e4"/>
    <ds:schemaRef ds:uri="8c75c918-dddb-4875-acc3-151854e0cd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F04E247-B64D-4DDB-8BD0-B222701E1275}">
  <ds:schemaRefs>
    <ds:schemaRef ds:uri="http://schemas.microsoft.com/sharepoint/v3/contenttype/forms"/>
  </ds:schemaRefs>
</ds:datastoreItem>
</file>

<file path=customXml/itemProps3.xml><?xml version="1.0" encoding="utf-8"?>
<ds:datastoreItem xmlns:ds="http://schemas.openxmlformats.org/officeDocument/2006/customXml" ds:itemID="{2B45BE56-91F7-42B5-8FFD-C2FA95878D53}">
  <ds:schemaRefs>
    <ds:schemaRef ds:uri="http://purl.org/dc/dcmitype/"/>
    <ds:schemaRef ds:uri="http://schemas.microsoft.com/office/2006/documentManagement/types"/>
    <ds:schemaRef ds:uri="http://purl.org/dc/elements/1.1/"/>
    <ds:schemaRef ds:uri="http://schemas.microsoft.com/office/infopath/2007/PartnerControls"/>
    <ds:schemaRef ds:uri="8c75c918-dddb-4875-acc3-151854e0cd7d"/>
    <ds:schemaRef ds:uri="http://purl.org/dc/terms/"/>
    <ds:schemaRef ds:uri="82822ecf-06f7-46b9-add4-65600883c5e4"/>
    <ds:schemaRef ds:uri="http://schemas.openxmlformats.org/package/2006/metadata/core-properties"/>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IVL </vt:lpstr>
      <vt:lpstr>Cutters</vt:lpstr>
      <vt:lpstr>'IVL '!Print_Area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Kannan</dc:creator>
  <cp:keywords/>
  <dc:description/>
  <cp:lastModifiedBy>Kannan Vaidyanathan</cp:lastModifiedBy>
  <cp:revision/>
  <dcterms:created xsi:type="dcterms:W3CDTF">2016-08-22T09:29:58Z</dcterms:created>
  <dcterms:modified xsi:type="dcterms:W3CDTF">2026-05-07T08:49:20Z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0x010100EDA7303820E1FD438FF6A46FBCB728CA</vt:lpwstr>
  </property>
  <property fmtid="{D5CDD505-2E9C-101B-9397-08002B2CF9AE}" pid="3" name="MediaServiceImageTags">
    <vt:lpwstr/>
  </property>
</Properties>
</file>